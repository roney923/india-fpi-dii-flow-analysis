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activeTab="1"/>
  </bookViews>
  <sheets>
    <sheet name="Summary" sheetId="1" r:id="rId1"/>
    <sheet name="Findings" sheetId="2" r:id="rId2"/>
    <sheet name="Offset Analysis" sheetId="3" r:id="rId3"/>
    <sheet name="Correlations" sheetId="4" r:id="rId4"/>
    <sheet name="Annual Summary" sheetId="5" r:id="rId5"/>
    <sheet name="Monthly Data" sheetId="6" r:id="rId6"/>
    <sheet name="Method &amp; Sources" sheetId="7" r:id="rId7"/>
  </sheets>
  <definedNames>
    <definedName name="_xlnm._FilterDatabase" localSheetId="5" hidden="1">'Monthly Data'!$A$4:$Q$122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<sst xmlns="http://schemas.openxmlformats.org/spreadsheetml/2006/main" count="349" uniqueCount="194">
  <si>
    <t>Foreign Outflows, Domestic Inflows and the Indian Equity Market</t>
  </si>
  <si>
    <t>FPI and DII equity flows, SIP growth and macro conditions, January 2017 to September 2026 (117 monthly observations)</t>
  </si>
  <si>
    <t>Status: preliminary. FPI and DII series are from different sources and are being rebuilt on one NSE basis. October 2026 excluded as a partial month.</t>
  </si>
  <si>
    <t>Complete months analysed</t>
  </si>
  <si>
    <t>FPI-selling months fully offset</t>
  </si>
  <si>
    <t>Growth in monthly SIP contributions</t>
  </si>
  <si>
    <t>Jan 2017 to Sep 2026</t>
  </si>
  <si>
    <t>₹4,095 cr to ₹32,490 cr</t>
  </si>
  <si>
    <t>Key findings</t>
  </si>
  <si>
    <t>Domestic buying usually covers foreign selling</t>
  </si>
  <si>
    <t>DII buying exceeded FPI selling in 42 of 53 selling months, and in 18 of 19 since 2024.</t>
  </si>
  <si>
    <t>Offsetting does not mean a rising market</t>
  </si>
  <si>
    <t>Fully offset months still averaged a -1.33% Nifty return, against +2.61% in months without FPI selling.</t>
  </si>
  <si>
    <t>Large outflows are harder to absorb</t>
  </si>
  <si>
    <t>In the ten biggest outflow months, 6 were fully offset and the average Nifty return was -3.95%.</t>
  </si>
  <si>
    <t>The domestic savings base has grown about eightfold</t>
  </si>
  <si>
    <t>Monthly SIPs rose from ₹4,095 cr to ₹32,490 cr; equity mutual fund AUM rose about sevenfold.</t>
  </si>
  <si>
    <t>The rupee is the macro variable that matters most</t>
  </si>
  <si>
    <t>USD/INR monthly change correlates -0.52 with Nifty returns; repo rate and CPI show almost none.</t>
  </si>
  <si>
    <t>Charts</t>
  </si>
  <si>
    <t>Source: NSDL, Trendlyne, NSE, AMFI, RBI. Detailed method and limitations are on the Method &amp; Sources tab.</t>
  </si>
  <si>
    <t>Research findings</t>
  </si>
  <si>
    <t>Figures are preliminary (see status note on Summary). Live values are on the Offset Analysis and Correlations tabs.</t>
  </si>
  <si>
    <t>#</t>
  </si>
  <si>
    <t>Question</t>
  </si>
  <si>
    <t>Result</t>
  </si>
  <si>
    <t>Reading</t>
  </si>
  <si>
    <t>Limitation</t>
  </si>
  <si>
    <t>Do domestic institutions absorb foreign selling?</t>
  </si>
  <si>
    <t>FPI was a net seller in 53 of 117 complete months. DII buying exceeded the selling in 42 of them (79%). Since January 2024 the figure is 18 of 19.</t>
  </si>
  <si>
    <t>Domestic buying has regularly been large enough to cover foreign selling, and more so in recent years.</t>
  </si>
  <si>
    <t>Net monthly flows only. Says nothing about intra-month timing, and FPI and DII data are not yet from one source.</t>
  </si>
  <si>
    <t>Does offsetting protect the market?</t>
  </si>
  <si>
    <t>Average Nifty return in FPI-selling months was -1.08%. Fully offset months averaged -1.33%; months not fully offset averaged -0.16%; months without FPI selling averaged +2.61%.</t>
  </si>
  <si>
    <t>Offsetting did not coincide with positive returns. Domestic buying absorbs selling but does not prevent weak months.</t>
  </si>
  <si>
    <t>Group averages are not causal. Whatever drives foreign selling may also drive domestic buying and returns.</t>
  </si>
  <si>
    <t>Are the largest outflow months harder to offset?</t>
  </si>
  <si>
    <t>Of the ten largest FPI-selling months, 6 were fully offset and the average Nifty return was -3.95%. Across the other 43 selling months, 84% were fully offset and the average return was -0.39%.</t>
  </si>
  <si>
    <t>Offset rate falls and returns weaken when foreign selling is very large.</t>
  </si>
  <si>
    <t>Ten observations. Treat as indicative.</t>
  </si>
  <si>
    <t>Is the domestic savings base growing?</t>
  </si>
  <si>
    <t>Monthly SIP contributions rose from ₹4,095 crore (Jan 2017) to ₹32,490 crore (Sep 2026), about 7.9 times. Equity mutual fund AUM rose from ₹5.4 lakh crore (Mar 2017) to ₹37.9 lakh crore (Jun 2026), about 7 times.</t>
  </si>
  <si>
    <t>Retail participation through SIPs has expanded steadily, which supports the case for a larger domestic buffer.</t>
  </si>
  <si>
    <t>AUM growth includes market appreciation. SIP figures are gross contributions, not net equity purchases.</t>
  </si>
  <si>
    <t>Is SIP growth linked to offsetting?</t>
  </si>
  <si>
    <t>Across FPI-selling months, the correlation between SIP level and full offset is +0.26; with the offset ratio it is -0.04.</t>
  </si>
  <si>
    <t>SIP growth is modestly associated with the chance of a full offset but not with its size.</t>
  </si>
  <si>
    <t>Both series trend upward over time, so the link may reflect time rather than a direct relationship.</t>
  </si>
  <si>
    <t>How do flows relate to returns?</t>
  </si>
  <si>
    <t>Same-month correlation with Nifty return: FPI +0.53, DII -0.47, combined +0.07.</t>
  </si>
  <si>
    <t>Foreign flows move with the market. Domestic flows move against it, consistent with buying into weakness.</t>
  </si>
  <si>
    <t>Contemporaneous correlation. Direction of cause is not established.</t>
  </si>
  <si>
    <t>Do macro variables matter?</t>
  </si>
  <si>
    <t>USD/INR monthly change vs Nifty return: r = -0.52 (107 months), -0.37 after trimming extremes, and between -0.39 and -0.66 in each sub-period. Repo rate (-0.06) and CPI (+0.03) show almost no relationship with returns.</t>
  </si>
  <si>
    <t>Rupee weakness is the macro variable most consistently associated with weak equity months in this sample.</t>
  </si>
  <si>
    <t>Association only. The rupee and equity prices respond to common drivers such as global risk sentiment.</t>
  </si>
  <si>
    <t>Offset analysis: do domestic institutions absorb foreign selling?</t>
  </si>
  <si>
    <t>Complete months only (Jan 2017 to Sep 2026). A month is 'fully offset' when DII net buying is at least as large as FPI net selling. Flow series are preliminary; see Method &amp; Sources.</t>
  </si>
  <si>
    <t>1. Nifty returns by flow regime</t>
  </si>
  <si>
    <t>Regime</t>
  </si>
  <si>
    <t>Months</t>
  </si>
  <si>
    <t>Mean Nifty return</t>
  </si>
  <si>
    <t>Months with positive return</t>
  </si>
  <si>
    <t>Avg FPI flow (₹ cr)</t>
  </si>
  <si>
    <t>Avg DII flow (₹ cr)</t>
  </si>
  <si>
    <t>FPI net sellers (all)</t>
  </si>
  <si>
    <t xml:space="preserve">   of which fully offset by DII</t>
  </si>
  <si>
    <t xml:space="preserve">   of which not fully offset</t>
  </si>
  <si>
    <t>FPI not selling</t>
  </si>
  <si>
    <t>Full-offset rate (fully offset ÷ FPI-selling months)</t>
  </si>
  <si>
    <t>January 2017 counts as a selling month but has no return (December 2016 close not in the dataset), so averages in column C use 52 observations.</t>
  </si>
  <si>
    <t>2. Offset rate by period</t>
  </si>
  <si>
    <t>Period</t>
  </si>
  <si>
    <t>FPI-selling months</t>
  </si>
  <si>
    <t>Fully offset</t>
  </si>
  <si>
    <t>Offset rate</t>
  </si>
  <si>
    <t>Total months</t>
  </si>
  <si>
    <t>Selling months as share of period</t>
  </si>
  <si>
    <t>2017 to 2019</t>
  </si>
  <si>
    <t>2020 to 2023</t>
  </si>
  <si>
    <t>2024 to Sep 2026</t>
  </si>
  <si>
    <t>3. Stress test: the ten largest monthly FPI outflows</t>
  </si>
  <si>
    <t>Rank</t>
  </si>
  <si>
    <t>Month</t>
  </si>
  <si>
    <t>FPI flow (₹ cr)</t>
  </si>
  <si>
    <t>DII flow (₹ cr)</t>
  </si>
  <si>
    <t>Offset ratio</t>
  </si>
  <si>
    <t>Fully offset?</t>
  </si>
  <si>
    <t>Nifty return</t>
  </si>
  <si>
    <t>SIP (₹ cr)</t>
  </si>
  <si>
    <t>Group</t>
  </si>
  <si>
    <t>Selling months</t>
  </si>
  <si>
    <t>Avg FPI (₹ cr)</t>
  </si>
  <si>
    <t>Avg DII (₹ cr)</t>
  </si>
  <si>
    <t>10 largest FPI-selling months</t>
  </si>
  <si>
    <t>All other FPI-selling months</t>
  </si>
  <si>
    <t>The ten-month group is small, so these averages are indicative only. Months are ranked by FPI flow; ties are not present in the data.</t>
  </si>
  <si>
    <t>Correlation tests</t>
  </si>
  <si>
    <t>Pearson r is calculated live from Monthly Data. Spearman and the robustness checks were run in Python on the same data and are stored as values. All figures describe association, not cause.</t>
  </si>
  <si>
    <t>1. Institutional flows and Nifty return (same month)</t>
  </si>
  <si>
    <t>Flow series</t>
  </si>
  <si>
    <t>Months (n)</t>
  </si>
  <si>
    <t>Pearson r</t>
  </si>
  <si>
    <t>Spearman ρ</t>
  </si>
  <si>
    <t>FPI net flow</t>
  </si>
  <si>
    <t>DII net flow</t>
  </si>
  <si>
    <t>FPI + DII combined</t>
  </si>
  <si>
    <t>2. Macro indicators</t>
  </si>
  <si>
    <t>Indicator</t>
  </si>
  <si>
    <t>Compared with</t>
  </si>
  <si>
    <t>USD/INR monthly change</t>
  </si>
  <si>
    <t>Repo rate</t>
  </si>
  <si>
    <t>CPI inflation (YoY)</t>
  </si>
  <si>
    <t>3. Robustness of the USD/INR and Nifty relationship (stored values)</t>
  </si>
  <si>
    <t>Test</t>
  </si>
  <si>
    <t>All complete months</t>
  </si>
  <si>
    <t>Excluding outer 2.5% tails of both variables</t>
  </si>
  <si>
    <t>4. SIP and offsetting (stored values, FPI-selling months only, n = 53)</t>
  </si>
  <si>
    <t>SIP level vs fully-offset indicator</t>
  </si>
  <si>
    <t>SIP level vs offset ratio</t>
  </si>
  <si>
    <t>Reading the table: a negative r between USD/INR change and Nifty return means months of larger rupee depreciation tended to be months of weaker equity returns.</t>
  </si>
  <si>
    <t>Annual summary</t>
  </si>
  <si>
    <t>Calculated from Monthly Data. 2026 covers January to September (nine complete months).</t>
  </si>
  <si>
    <t>Year</t>
  </si>
  <si>
    <t>FPI net flow (₹ cr)</t>
  </si>
  <si>
    <t>DII net flow (₹ cr)</t>
  </si>
  <si>
    <t>Avg monthly Nifty return</t>
  </si>
  <si>
    <t>SIP total (₹ cr)</t>
  </si>
  <si>
    <t>Avg monthly SIP (₹ cr)</t>
  </si>
  <si>
    <t>Total</t>
  </si>
  <si>
    <t>Monthly dataset, January 2017 to October 2026</t>
  </si>
  <si>
    <t>Blue = source data entered as values; black = calculated. Analysis uses complete months only (rows 5 to 121). October 2026 (row 122) is partial, to 23 Oct, and is shown for reference.</t>
  </si>
  <si>
    <t>Status</t>
  </si>
  <si>
    <t>FPI + DII (₹ cr)</t>
  </si>
  <si>
    <t>FPI selling?</t>
  </si>
  <si>
    <t>DII fully offsets?</t>
  </si>
  <si>
    <t>Offset ratio (DII ÷ FPI selling)</t>
  </si>
  <si>
    <t>Nifty 50 close</t>
  </si>
  <si>
    <t>Nifty monthly return</t>
  </si>
  <si>
    <t>SIP contribution (₹ cr)</t>
  </si>
  <si>
    <t>Equity MF AUM (₹ cr, quarter-end)</t>
  </si>
  <si>
    <t>USD/INR (month-end)</t>
  </si>
  <si>
    <t>CPI inflation (YoY, %)</t>
  </si>
  <si>
    <t>Repo rate (%)</t>
  </si>
  <si>
    <t>Complete</t>
  </si>
  <si>
    <t>Partial</t>
  </si>
  <si>
    <t>Method, sources and status</t>
  </si>
  <si>
    <t>Objective</t>
  </si>
  <si>
    <t>Whether domestic institutional buying has become large enough to absorb foreign portfolio selling in Indian equities, and how flows relate to Nifty returns, SIP growth and macro conditions.</t>
  </si>
  <si>
    <t>Definitions</t>
  </si>
  <si>
    <t>Flow sign</t>
  </si>
  <si>
    <t>Positive = net buying, negative = net selling. Monthly flow is the net equity position for the calendar month, in ₹ crore.</t>
  </si>
  <si>
    <t>A month where FPI net flow is negative and DII net flow is at least equal to its absolute value.</t>
  </si>
  <si>
    <t>Month-end close divided by prior month-end close, minus one.</t>
  </si>
  <si>
    <t>USD/INR change</t>
  </si>
  <si>
    <t>Month-end rate divided by prior month-end rate, minus one. A positive value is rupee depreciation.</t>
  </si>
  <si>
    <t>Sample</t>
  </si>
  <si>
    <t>117 complete months, January 2017 to September 2026. October 2026 is partial (to 23 Oct) and excluded from all statistics.</t>
  </si>
  <si>
    <t>Missing data</t>
  </si>
  <si>
    <t>Left blank, never set to zero. Repo rate and USD/INR begin in October 2017; Nifty return begins in February 2017; AUM is available at quarter-ends only.</t>
  </si>
  <si>
    <t>Data sources</t>
  </si>
  <si>
    <t>FPI net equity flow</t>
  </si>
  <si>
    <t>NSDL monthly reports (depository basis).</t>
  </si>
  <si>
    <t>DII net equity flow</t>
  </si>
  <si>
    <t>Trendlyne monthly table, transcribed manually. July 2026 checked against published figures.</t>
  </si>
  <si>
    <t>Nifty 50</t>
  </si>
  <si>
    <t>NSE daily index files, aggregated to month-end.</t>
  </si>
  <si>
    <t>SIP contributions</t>
  </si>
  <si>
    <t>AMFI monthly SIP data. December 2025 and January 2026 both report ₹31,002 crore, confirmed against AMFI.</t>
  </si>
  <si>
    <t>Equity mutual fund AUM</t>
  </si>
  <si>
    <t>AMFI quarterly category-wise report; sum of equity-oriented category totals.</t>
  </si>
  <si>
    <t>Repo rate, USD/INR, CPI</t>
  </si>
  <si>
    <t>Monthly macro indicators file compiled from RBI and MoSPI releases.</t>
  </si>
  <si>
    <t>Status and limitations</t>
  </si>
  <si>
    <t>FPI (depository basis) and DII (exchange basis) come from different sources and may not be strictly comparable. For July 2026 the FPI figure here is +₹20,200 crore against about -₹5,779 crore in the exchange cash-market data.</t>
  </si>
  <si>
    <t>Next step</t>
  </si>
  <si>
    <t>Rebuild both series from the NSE combined FII/FPI and DII cash-market report (NSE, BSE and MSEI), aggregate to months, and rerun the offset, stress-test and correlation tabs. Offset rates and flow correlations should be treated as preliminary until then.</t>
  </si>
  <si>
    <t>Interpretation</t>
  </si>
  <si>
    <t>All results are descriptive associations. No causal claim is made.</t>
  </si>
  <si>
    <t>Not used</t>
  </si>
  <si>
    <t>AMFI folio counts are excluded because category folios overlap and do not represent unique investors.</t>
  </si>
  <si>
    <t>Workbook map</t>
  </si>
  <si>
    <t>Summary</t>
  </si>
  <si>
    <t>Headline figures and charts.</t>
  </si>
  <si>
    <t>Findings</t>
  </si>
  <si>
    <t>Seven findings with result, reading and limitation.</t>
  </si>
  <si>
    <t>Offset Analysis</t>
  </si>
  <si>
    <t>Offset rates, regime returns and the ten-month stress test.</t>
  </si>
  <si>
    <t>Correlations</t>
  </si>
  <si>
    <t>Flow and macro correlations with robustness checks.</t>
  </si>
  <si>
    <t>Annual Summary</t>
  </si>
  <si>
    <t>Year-by-year flows, offsets and SIP.</t>
  </si>
  <si>
    <t>Monthly Data</t>
  </si>
  <si>
    <t>Source data and calculated columns that drive every other tab.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</si>
</sst>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mmm/yyyy"/>
    <numFmt numFmtId="181" formatCode="#,##0;\(#,##0\)"/>
    <numFmt numFmtId="182" formatCode="0.0%"/>
    <numFmt numFmtId="183" formatCode="0.0\x"/>
  </numFmts>
  <fonts count="36">
    <font>
      <sz val="11"/>
      <color theme="1"/>
      <name val="Calibri"/>
      <charset val="1"/>
    </font>
    <font>
      <b/>
      <sz val="15"/>
      <color rgb="FF1F3864"/>
      <name val="Arial"/>
      <charset val="1"/>
    </font>
    <font>
      <b/>
      <sz val="11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8"/>
      <color rgb="FF595959"/>
      <name val="Arial"/>
      <charset val="1"/>
    </font>
    <font>
      <b/>
      <sz val="18"/>
      <color rgb="FF1F3864"/>
      <name val="Arial"/>
      <charset val="1"/>
    </font>
    <font>
      <sz val="10"/>
      <color rgb="FF595959"/>
      <name val="Arial"/>
      <charset val="1"/>
    </font>
    <font>
      <i/>
      <sz val="9"/>
      <color rgb="FF9C5700"/>
      <name val="Arial"/>
      <charset val="1"/>
    </font>
    <font>
      <sz val="9"/>
      <color rgb="FF595959"/>
      <name val="Arial"/>
      <charset val="1"/>
    </font>
    <font>
      <b/>
      <sz val="22"/>
      <color rgb="FF1F3864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Border="0" applyAlignment="0" applyProtection="0"/>
    <xf numFmtId="177" fontId="15" fillId="0" borderId="0" applyBorder="0" applyAlignment="0" applyProtection="0"/>
    <xf numFmtId="9" fontId="15" fillId="0" borderId="0" applyBorder="0" applyAlignment="0" applyProtection="0"/>
    <xf numFmtId="178" fontId="15" fillId="0" borderId="0" applyBorder="0" applyAlignment="0" applyProtection="0"/>
    <xf numFmtId="179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7" fillId="7" borderId="6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18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81" fontId="7" fillId="0" borderId="1" xfId="0" applyNumberFormat="1" applyFont="1" applyBorder="1"/>
    <xf numFmtId="181" fontId="0" fillId="0" borderId="1" xfId="0" applyNumberFormat="1" applyBorder="1"/>
    <xf numFmtId="9" fontId="0" fillId="0" borderId="1" xfId="0" applyNumberFormat="1" applyBorder="1"/>
    <xf numFmtId="4" fontId="7" fillId="0" borderId="1" xfId="0" applyNumberFormat="1" applyFont="1" applyBorder="1"/>
    <xf numFmtId="0" fontId="0" fillId="0" borderId="1" xfId="0" applyFont="1" applyBorder="1"/>
    <xf numFmtId="3" fontId="7" fillId="0" borderId="1" xfId="0" applyNumberFormat="1" applyFont="1" applyBorder="1"/>
    <xf numFmtId="2" fontId="7" fillId="0" borderId="1" xfId="0" applyNumberFormat="1" applyFont="1" applyBorder="1"/>
    <xf numFmtId="10" fontId="0" fillId="0" borderId="1" xfId="0" applyNumberFormat="1" applyBorder="1"/>
    <xf numFmtId="180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81" fontId="7" fillId="3" borderId="1" xfId="0" applyNumberFormat="1" applyFont="1" applyFill="1" applyBorder="1"/>
    <xf numFmtId="181" fontId="0" fillId="3" borderId="1" xfId="0" applyNumberFormat="1" applyFill="1" applyBorder="1"/>
    <xf numFmtId="9" fontId="0" fillId="3" borderId="1" xfId="0" applyNumberFormat="1" applyFill="1" applyBorder="1"/>
    <xf numFmtId="4" fontId="7" fillId="3" borderId="1" xfId="0" applyNumberFormat="1" applyFont="1" applyFill="1" applyBorder="1"/>
    <xf numFmtId="10" fontId="0" fillId="3" borderId="1" xfId="0" applyNumberFormat="1" applyFill="1" applyBorder="1"/>
    <xf numFmtId="3" fontId="7" fillId="3" borderId="1" xfId="0" applyNumberFormat="1" applyFont="1" applyFill="1" applyBorder="1"/>
    <xf numFmtId="2" fontId="7" fillId="3" borderId="1" xfId="0" applyNumberFormat="1" applyFont="1" applyFill="1" applyBorder="1"/>
    <xf numFmtId="0" fontId="0" fillId="3" borderId="1" xfId="0" applyFill="1" applyBorder="1"/>
    <xf numFmtId="0" fontId="4" fillId="0" borderId="1" xfId="0" applyFont="1" applyBorder="1" applyAlignment="1">
      <alignment horizontal="center"/>
    </xf>
    <xf numFmtId="181" fontId="4" fillId="0" borderId="1" xfId="0" applyNumberFormat="1" applyFont="1" applyBorder="1"/>
    <xf numFmtId="0" fontId="4" fillId="0" borderId="1" xfId="0" applyFont="1" applyBorder="1"/>
    <xf numFmtId="10" fontId="4" fillId="0" borderId="1" xfId="0" applyNumberFormat="1" applyFont="1" applyBorder="1"/>
    <xf numFmtId="3" fontId="4" fillId="0" borderId="1" xfId="0" applyNumberFormat="1" applyFont="1" applyBorder="1"/>
    <xf numFmtId="0" fontId="3" fillId="0" borderId="2" xfId="0" applyFont="1" applyBorder="1"/>
    <xf numFmtId="181" fontId="3" fillId="0" borderId="2" xfId="0" applyNumberFormat="1" applyFont="1" applyBorder="1"/>
    <xf numFmtId="2" fontId="0" fillId="0" borderId="1" xfId="0" applyNumberFormat="1" applyBorder="1"/>
    <xf numFmtId="0" fontId="7" fillId="0" borderId="1" xfId="0" applyFont="1" applyBorder="1"/>
    <xf numFmtId="0" fontId="8" fillId="0" borderId="0" xfId="0" applyFont="1"/>
    <xf numFmtId="9" fontId="4" fillId="0" borderId="1" xfId="0" applyNumberFormat="1" applyFont="1" applyBorder="1"/>
    <xf numFmtId="0" fontId="3" fillId="0" borderId="0" xfId="0" applyFont="1"/>
    <xf numFmtId="182" fontId="3" fillId="0" borderId="0" xfId="0" applyNumberFormat="1" applyFont="1"/>
    <xf numFmtId="180" fontId="4" fillId="0" borderId="1" xfId="0" applyNumberFormat="1" applyFont="1" applyBorder="1" applyAlignment="1">
      <alignment horizontal="center"/>
    </xf>
    <xf numFmtId="182" fontId="4" fillId="0" borderId="1" xfId="0" applyNumberFormat="1" applyFont="1" applyBorder="1"/>
    <xf numFmtId="1" fontId="4" fillId="0" borderId="1" xfId="0" applyNumberFormat="1" applyFont="1" applyBorder="1"/>
    <xf numFmtId="0" fontId="4" fillId="0" borderId="1" xfId="0" applyFont="1" applyBorder="1" applyAlignment="1">
      <alignment horizontal="center" vertical="top"/>
    </xf>
    <xf numFmtId="0" fontId="9" fillId="0" borderId="0" xfId="0" applyFont="1" applyBorder="1"/>
    <xf numFmtId="0" fontId="10" fillId="0" borderId="0" xfId="0" applyFont="1" applyBorder="1"/>
    <xf numFmtId="0" fontId="11" fillId="4" borderId="0" xfId="0" applyFont="1" applyFill="1" applyBorder="1" applyAlignment="1">
      <alignment vertical="center" indent="1"/>
    </xf>
    <xf numFmtId="0" fontId="12" fillId="3" borderId="0" xfId="0" applyFont="1" applyFill="1" applyBorder="1" applyAlignment="1">
      <alignment horizontal="center" vertical="center"/>
    </xf>
    <xf numFmtId="1" fontId="13" fillId="3" borderId="0" xfId="0" applyNumberFormat="1" applyFont="1" applyFill="1" applyBorder="1" applyAlignment="1">
      <alignment horizontal="center" vertical="center"/>
    </xf>
    <xf numFmtId="9" fontId="13" fillId="3" borderId="0" xfId="0" applyNumberFormat="1" applyFont="1" applyFill="1" applyBorder="1" applyAlignment="1">
      <alignment horizontal="center" vertical="center"/>
    </xf>
    <xf numFmtId="183" fontId="13" fillId="3" borderId="0" xfId="0" applyNumberFormat="1" applyFont="1" applyFill="1" applyBorder="1" applyAlignment="1">
      <alignment horizontal="center" vertical="center"/>
    </xf>
    <xf numFmtId="0" fontId="14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78787"/>
      <rgbColor rgb="009999FF"/>
      <rgbColor rgb="00993366"/>
      <rgbColor rgb="00FFF2CC"/>
      <rgbColor rgb="00F2F2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0E0E0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595959"/>
      <rgbColor rgb="00A6A6A6"/>
      <rgbColor rgb="001F3864"/>
      <rgbColor rgb="00339966"/>
      <rgbColor rgb="00003300"/>
      <rgbColor rgb="00333300"/>
      <rgbColor rgb="009C57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spc="-1" baseline="0">
                <a:solidFill>
                  <a:srgbClr val="1F3864"/>
                </a:solidFill>
                <a:latin typeface="Arial" panose="020B0604020202020204"/>
                <a:ea typeface="+mn-ea"/>
                <a:cs typeface="+mn-cs"/>
              </a:defRPr>
            </a:pPr>
            <a:r>
              <a:rPr sz="1100" b="1" strike="noStrike" spc="-1">
                <a:solidFill>
                  <a:srgbClr val="1F3864"/>
                </a:solidFill>
                <a:latin typeface="Arial" panose="020B0604020202020204"/>
              </a:rPr>
              <a:t>Net equity flows by year, FPI vs DII (₹ crore)</a:t>
            </a:r>
            <a:endParaRPr sz="1100" b="1" strike="noStrike" spc="-1">
              <a:solidFill>
                <a:srgbClr val="1F3864"/>
              </a:solidFill>
              <a:latin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Summary'!$C$4</c:f>
              <c:strCache>
                <c:ptCount val="1"/>
                <c:pt idx="0">
                  <c:v>FPI net flow (₹ cr)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'Annual Summary'!$A$5:$A$14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numCache>
            </c:numRef>
          </c:cat>
          <c:val>
            <c:numRef>
              <c:f>'Annual Summary'!$C$5:$C$14</c:f>
              <c:numCache>
                <c:formatCode>#,##0;\(#,##0\)</c:formatCode>
                <c:ptCount val="10"/>
                <c:pt idx="0">
                  <c:v>51252</c:v>
                </c:pt>
                <c:pt idx="1">
                  <c:v>-33014</c:v>
                </c:pt>
                <c:pt idx="2">
                  <c:v>101122</c:v>
                </c:pt>
                <c:pt idx="3">
                  <c:v>170262</c:v>
                </c:pt>
                <c:pt idx="4">
                  <c:v>25752</c:v>
                </c:pt>
                <c:pt idx="5">
                  <c:v>-121439</c:v>
                </c:pt>
                <c:pt idx="6">
                  <c:v>171107</c:v>
                </c:pt>
                <c:pt idx="7">
                  <c:v>427</c:v>
                </c:pt>
                <c:pt idx="8">
                  <c:v>-166286</c:v>
                </c:pt>
                <c:pt idx="9">
                  <c:v>-260302</c:v>
                </c:pt>
              </c:numCache>
            </c:numRef>
          </c:val>
        </c:ser>
        <c:ser>
          <c:idx val="1"/>
          <c:order val="1"/>
          <c:tx>
            <c:strRef>
              <c:f>'Annual Summary'!$D$4</c:f>
              <c:strCache>
                <c:ptCount val="1"/>
                <c:pt idx="0">
                  <c:v>DII net flow (₹ cr)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'Annual Summary'!$A$5:$A$14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numCache>
            </c:numRef>
          </c:cat>
          <c:val>
            <c:numRef>
              <c:f>'Annual Summary'!$D$5:$D$14</c:f>
              <c:numCache>
                <c:formatCode>#,##0;\(#,##0\)</c:formatCode>
                <c:ptCount val="10"/>
                <c:pt idx="0">
                  <c:v>90738.3</c:v>
                </c:pt>
                <c:pt idx="1">
                  <c:v>109661.8</c:v>
                </c:pt>
                <c:pt idx="2">
                  <c:v>42257.2</c:v>
                </c:pt>
                <c:pt idx="3">
                  <c:v>-35663.2</c:v>
                </c:pt>
                <c:pt idx="4">
                  <c:v>95074.8</c:v>
                </c:pt>
                <c:pt idx="5">
                  <c:v>276698.7</c:v>
                </c:pt>
                <c:pt idx="6">
                  <c:v>184650.1</c:v>
                </c:pt>
                <c:pt idx="7">
                  <c:v>526545.1</c:v>
                </c:pt>
                <c:pt idx="8">
                  <c:v>788184.4</c:v>
                </c:pt>
                <c:pt idx="9">
                  <c:v>639534.8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4494354"/>
        <c:axId val="52372667"/>
      </c:barChart>
      <c:catAx>
        <c:axId val="444943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2372667"/>
        <c:crosses val="autoZero"/>
        <c:auto val="1"/>
        <c:lblAlgn val="ctr"/>
        <c:lblOffset val="100"/>
        <c:noMultiLvlLbl val="0"/>
      </c:catAx>
      <c:valAx>
        <c:axId val="5237266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E0E0E0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44943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ad2172-148d-4249-8507-29005841a0f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spc="-1" baseline="0">
                <a:solidFill>
                  <a:srgbClr val="1F3864"/>
                </a:solidFill>
                <a:latin typeface="Arial" panose="020B0604020202020204"/>
                <a:ea typeface="+mn-ea"/>
                <a:cs typeface="+mn-cs"/>
              </a:defRPr>
            </a:pPr>
            <a:r>
              <a:rPr sz="1100" b="1" strike="noStrike" spc="-1">
                <a:solidFill>
                  <a:srgbClr val="1F3864"/>
                </a:solidFill>
                <a:latin typeface="Arial" panose="020B0604020202020204"/>
              </a:rPr>
              <a:t>Monthly SIP contributions (₹ crore)</a:t>
            </a:r>
            <a:endParaRPr sz="1100" b="1" strike="noStrike" spc="-1">
              <a:solidFill>
                <a:srgbClr val="1F3864"/>
              </a:solidFill>
              <a:latin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Data'!$L$4</c:f>
              <c:strCache>
                <c:ptCount val="1"/>
                <c:pt idx="0">
                  <c:v>SIP contribution (₹ cr)</c:v>
                </c:pt>
              </c:strCache>
            </c:strRef>
          </c:tx>
          <c:spPr>
            <a:ln w="21960" cap="rnd" cmpd="sng" algn="ctr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'Monthly Data'!$A$5:$A$121</c:f>
              <c:numCache>
                <c:formatCode>mmm/yyyy</c:formatCode>
                <c:ptCount val="117"/>
                <c:pt idx="0" c:formatCode="mmm/yyyy">
                  <c:v>42736</c:v>
                </c:pt>
                <c:pt idx="1" c:formatCode="mmm/yyyy">
                  <c:v>42767</c:v>
                </c:pt>
                <c:pt idx="2" c:formatCode="mmm/yyyy">
                  <c:v>42795</c:v>
                </c:pt>
                <c:pt idx="3" c:formatCode="mmm/yyyy">
                  <c:v>42826</c:v>
                </c:pt>
                <c:pt idx="4" c:formatCode="mmm/yyyy">
                  <c:v>42856</c:v>
                </c:pt>
                <c:pt idx="5" c:formatCode="mmm/yyyy">
                  <c:v>42887</c:v>
                </c:pt>
                <c:pt idx="6" c:formatCode="mmm/yyyy">
                  <c:v>42917</c:v>
                </c:pt>
                <c:pt idx="7" c:formatCode="mmm/yyyy">
                  <c:v>42948</c:v>
                </c:pt>
                <c:pt idx="8" c:formatCode="mmm/yyyy">
                  <c:v>42979</c:v>
                </c:pt>
                <c:pt idx="9" c:formatCode="mmm/yyyy">
                  <c:v>43009</c:v>
                </c:pt>
                <c:pt idx="10" c:formatCode="mmm/yyyy">
                  <c:v>43040</c:v>
                </c:pt>
                <c:pt idx="11" c:formatCode="mmm/yyyy">
                  <c:v>43070</c:v>
                </c:pt>
                <c:pt idx="12" c:formatCode="mmm/yyyy">
                  <c:v>43101</c:v>
                </c:pt>
                <c:pt idx="13" c:formatCode="mmm/yyyy">
                  <c:v>43132</c:v>
                </c:pt>
                <c:pt idx="14" c:formatCode="mmm/yyyy">
                  <c:v>43160</c:v>
                </c:pt>
                <c:pt idx="15" c:formatCode="mmm/yyyy">
                  <c:v>43191</c:v>
                </c:pt>
                <c:pt idx="16" c:formatCode="mmm/yyyy">
                  <c:v>43221</c:v>
                </c:pt>
                <c:pt idx="17" c:formatCode="mmm/yyyy">
                  <c:v>43252</c:v>
                </c:pt>
                <c:pt idx="18" c:formatCode="mmm/yyyy">
                  <c:v>43282</c:v>
                </c:pt>
                <c:pt idx="19" c:formatCode="mmm/yyyy">
                  <c:v>43313</c:v>
                </c:pt>
                <c:pt idx="20" c:formatCode="mmm/yyyy">
                  <c:v>43344</c:v>
                </c:pt>
                <c:pt idx="21" c:formatCode="mmm/yyyy">
                  <c:v>43374</c:v>
                </c:pt>
                <c:pt idx="22" c:formatCode="mmm/yyyy">
                  <c:v>43405</c:v>
                </c:pt>
                <c:pt idx="23" c:formatCode="mmm/yyyy">
                  <c:v>43435</c:v>
                </c:pt>
                <c:pt idx="24" c:formatCode="mmm/yyyy">
                  <c:v>43466</c:v>
                </c:pt>
                <c:pt idx="25" c:formatCode="mmm/yyyy">
                  <c:v>43497</c:v>
                </c:pt>
                <c:pt idx="26" c:formatCode="mmm/yyyy">
                  <c:v>43525</c:v>
                </c:pt>
                <c:pt idx="27" c:formatCode="mmm/yyyy">
                  <c:v>43556</c:v>
                </c:pt>
                <c:pt idx="28" c:formatCode="mmm/yyyy">
                  <c:v>43586</c:v>
                </c:pt>
                <c:pt idx="29" c:formatCode="mmm/yyyy">
                  <c:v>43617</c:v>
                </c:pt>
                <c:pt idx="30" c:formatCode="mmm/yyyy">
                  <c:v>43647</c:v>
                </c:pt>
                <c:pt idx="31" c:formatCode="mmm/yyyy">
                  <c:v>43678</c:v>
                </c:pt>
                <c:pt idx="32" c:formatCode="mmm/yyyy">
                  <c:v>43709</c:v>
                </c:pt>
                <c:pt idx="33" c:formatCode="mmm/yyyy">
                  <c:v>43739</c:v>
                </c:pt>
                <c:pt idx="34" c:formatCode="mmm/yyyy">
                  <c:v>43770</c:v>
                </c:pt>
                <c:pt idx="35" c:formatCode="mmm/yyyy">
                  <c:v>43800</c:v>
                </c:pt>
                <c:pt idx="36" c:formatCode="mmm/yyyy">
                  <c:v>43831</c:v>
                </c:pt>
                <c:pt idx="37" c:formatCode="mmm/yyyy">
                  <c:v>43862</c:v>
                </c:pt>
                <c:pt idx="38" c:formatCode="mmm/yyyy">
                  <c:v>43891</c:v>
                </c:pt>
                <c:pt idx="39" c:formatCode="mmm/yyyy">
                  <c:v>43922</c:v>
                </c:pt>
                <c:pt idx="40" c:formatCode="mmm/yyyy">
                  <c:v>43952</c:v>
                </c:pt>
                <c:pt idx="41" c:formatCode="mmm/yyyy">
                  <c:v>43983</c:v>
                </c:pt>
                <c:pt idx="42" c:formatCode="mmm/yyyy">
                  <c:v>44013</c:v>
                </c:pt>
                <c:pt idx="43" c:formatCode="mmm/yyyy">
                  <c:v>44044</c:v>
                </c:pt>
                <c:pt idx="44" c:formatCode="mmm/yyyy">
                  <c:v>44075</c:v>
                </c:pt>
                <c:pt idx="45" c:formatCode="mmm/yyyy">
                  <c:v>44105</c:v>
                </c:pt>
                <c:pt idx="46" c:formatCode="mmm/yyyy">
                  <c:v>44136</c:v>
                </c:pt>
                <c:pt idx="47" c:formatCode="mmm/yyyy">
                  <c:v>44166</c:v>
                </c:pt>
                <c:pt idx="48" c:formatCode="mmm/yyyy">
                  <c:v>44197</c:v>
                </c:pt>
                <c:pt idx="49" c:formatCode="mmm/yyyy">
                  <c:v>44228</c:v>
                </c:pt>
                <c:pt idx="50" c:formatCode="mmm/yyyy">
                  <c:v>44256</c:v>
                </c:pt>
                <c:pt idx="51" c:formatCode="mmm/yyyy">
                  <c:v>44287</c:v>
                </c:pt>
                <c:pt idx="52" c:formatCode="mmm/yyyy">
                  <c:v>44317</c:v>
                </c:pt>
                <c:pt idx="53" c:formatCode="mmm/yyyy">
                  <c:v>44348</c:v>
                </c:pt>
                <c:pt idx="54" c:formatCode="mmm/yyyy">
                  <c:v>44378</c:v>
                </c:pt>
                <c:pt idx="55" c:formatCode="mmm/yyyy">
                  <c:v>44409</c:v>
                </c:pt>
                <c:pt idx="56" c:formatCode="mmm/yyyy">
                  <c:v>44440</c:v>
                </c:pt>
                <c:pt idx="57" c:formatCode="mmm/yyyy">
                  <c:v>44470</c:v>
                </c:pt>
                <c:pt idx="58" c:formatCode="mmm/yyyy">
                  <c:v>44501</c:v>
                </c:pt>
                <c:pt idx="59" c:formatCode="mmm/yyyy">
                  <c:v>44531</c:v>
                </c:pt>
                <c:pt idx="60" c:formatCode="mmm/yyyy">
                  <c:v>44562</c:v>
                </c:pt>
                <c:pt idx="61" c:formatCode="mmm/yyyy">
                  <c:v>44593</c:v>
                </c:pt>
                <c:pt idx="62" c:formatCode="mmm/yyyy">
                  <c:v>44621</c:v>
                </c:pt>
                <c:pt idx="63" c:formatCode="mmm/yyyy">
                  <c:v>44652</c:v>
                </c:pt>
                <c:pt idx="64" c:formatCode="mmm/yyyy">
                  <c:v>44682</c:v>
                </c:pt>
                <c:pt idx="65" c:formatCode="mmm/yyyy">
                  <c:v>44713</c:v>
                </c:pt>
                <c:pt idx="66" c:formatCode="mmm/yyyy">
                  <c:v>44743</c:v>
                </c:pt>
                <c:pt idx="67" c:formatCode="mmm/yyyy">
                  <c:v>44774</c:v>
                </c:pt>
                <c:pt idx="68" c:formatCode="mmm/yyyy">
                  <c:v>44805</c:v>
                </c:pt>
                <c:pt idx="69" c:formatCode="mmm/yyyy">
                  <c:v>44835</c:v>
                </c:pt>
                <c:pt idx="70" c:formatCode="mmm/yyyy">
                  <c:v>44866</c:v>
                </c:pt>
                <c:pt idx="71" c:formatCode="mmm/yyyy">
                  <c:v>44896</c:v>
                </c:pt>
                <c:pt idx="72" c:formatCode="mmm/yyyy">
                  <c:v>44927</c:v>
                </c:pt>
                <c:pt idx="73" c:formatCode="mmm/yyyy">
                  <c:v>44958</c:v>
                </c:pt>
                <c:pt idx="74" c:formatCode="mmm/yyyy">
                  <c:v>44986</c:v>
                </c:pt>
                <c:pt idx="75" c:formatCode="mmm/yyyy">
                  <c:v>45017</c:v>
                </c:pt>
                <c:pt idx="76" c:formatCode="mmm/yyyy">
                  <c:v>45047</c:v>
                </c:pt>
                <c:pt idx="77" c:formatCode="mmm/yyyy">
                  <c:v>45078</c:v>
                </c:pt>
                <c:pt idx="78" c:formatCode="mmm/yyyy">
                  <c:v>45108</c:v>
                </c:pt>
                <c:pt idx="79" c:formatCode="mmm/yyyy">
                  <c:v>45139</c:v>
                </c:pt>
                <c:pt idx="80" c:formatCode="mmm/yyyy">
                  <c:v>45170</c:v>
                </c:pt>
                <c:pt idx="81" c:formatCode="mmm/yyyy">
                  <c:v>45200</c:v>
                </c:pt>
                <c:pt idx="82" c:formatCode="mmm/yyyy">
                  <c:v>45231</c:v>
                </c:pt>
                <c:pt idx="83" c:formatCode="mmm/yyyy">
                  <c:v>45261</c:v>
                </c:pt>
                <c:pt idx="84" c:formatCode="mmm/yyyy">
                  <c:v>45292</c:v>
                </c:pt>
                <c:pt idx="85" c:formatCode="mmm/yyyy">
                  <c:v>45323</c:v>
                </c:pt>
                <c:pt idx="86" c:formatCode="mmm/yyyy">
                  <c:v>45352</c:v>
                </c:pt>
                <c:pt idx="87" c:formatCode="mmm/yyyy">
                  <c:v>45383</c:v>
                </c:pt>
                <c:pt idx="88" c:formatCode="mmm/yyyy">
                  <c:v>45413</c:v>
                </c:pt>
                <c:pt idx="89" c:formatCode="mmm/yyyy">
                  <c:v>45444</c:v>
                </c:pt>
                <c:pt idx="90" c:formatCode="mmm/yyyy">
                  <c:v>45474</c:v>
                </c:pt>
                <c:pt idx="91" c:formatCode="mmm/yyyy">
                  <c:v>45505</c:v>
                </c:pt>
                <c:pt idx="92" c:formatCode="mmm/yyyy">
                  <c:v>45536</c:v>
                </c:pt>
                <c:pt idx="93" c:formatCode="mmm/yyyy">
                  <c:v>45566</c:v>
                </c:pt>
                <c:pt idx="94" c:formatCode="mmm/yyyy">
                  <c:v>45597</c:v>
                </c:pt>
                <c:pt idx="95" c:formatCode="mmm/yyyy">
                  <c:v>45627</c:v>
                </c:pt>
                <c:pt idx="96" c:formatCode="mmm/yyyy">
                  <c:v>45658</c:v>
                </c:pt>
                <c:pt idx="97" c:formatCode="mmm/yyyy">
                  <c:v>45689</c:v>
                </c:pt>
                <c:pt idx="98" c:formatCode="mmm/yyyy">
                  <c:v>45717</c:v>
                </c:pt>
                <c:pt idx="99" c:formatCode="mmm/yyyy">
                  <c:v>45748</c:v>
                </c:pt>
                <c:pt idx="100" c:formatCode="mmm/yyyy">
                  <c:v>45778</c:v>
                </c:pt>
                <c:pt idx="101" c:formatCode="mmm/yyyy">
                  <c:v>45809</c:v>
                </c:pt>
                <c:pt idx="102" c:formatCode="mmm/yyyy">
                  <c:v>45839</c:v>
                </c:pt>
                <c:pt idx="103" c:formatCode="mmm/yyyy">
                  <c:v>45870</c:v>
                </c:pt>
                <c:pt idx="104" c:formatCode="mmm/yyyy">
                  <c:v>45901</c:v>
                </c:pt>
                <c:pt idx="105" c:formatCode="mmm/yyyy">
                  <c:v>45931</c:v>
                </c:pt>
                <c:pt idx="106" c:formatCode="mmm/yyyy">
                  <c:v>45962</c:v>
                </c:pt>
                <c:pt idx="107" c:formatCode="mmm/yyyy">
                  <c:v>45992</c:v>
                </c:pt>
                <c:pt idx="108" c:formatCode="mmm/yyyy">
                  <c:v>46023</c:v>
                </c:pt>
                <c:pt idx="109" c:formatCode="mmm/yyyy">
                  <c:v>46054</c:v>
                </c:pt>
                <c:pt idx="110" c:formatCode="mmm/yyyy">
                  <c:v>46082</c:v>
                </c:pt>
                <c:pt idx="111" c:formatCode="mmm/yyyy">
                  <c:v>46113</c:v>
                </c:pt>
                <c:pt idx="112" c:formatCode="mmm/yyyy">
                  <c:v>46143</c:v>
                </c:pt>
                <c:pt idx="113" c:formatCode="mmm/yyyy">
                  <c:v>46174</c:v>
                </c:pt>
                <c:pt idx="114" c:formatCode="mmm/yyyy">
                  <c:v>46204</c:v>
                </c:pt>
                <c:pt idx="115" c:formatCode="mmm/yyyy">
                  <c:v>46235</c:v>
                </c:pt>
                <c:pt idx="116" c:formatCode="mmm/yyyy">
                  <c:v>46266</c:v>
                </c:pt>
              </c:numCache>
            </c:numRef>
          </c:cat>
          <c:val>
            <c:numRef>
              <c:f>'Monthly Data'!$L$5:$L$121</c:f>
              <c:numCache>
                <c:formatCode>#,##0</c:formatCode>
                <c:ptCount val="117"/>
                <c:pt idx="0">
                  <c:v>4095</c:v>
                </c:pt>
                <c:pt idx="1">
                  <c:v>4050</c:v>
                </c:pt>
                <c:pt idx="2">
                  <c:v>4335</c:v>
                </c:pt>
                <c:pt idx="3">
                  <c:v>4269</c:v>
                </c:pt>
                <c:pt idx="4">
                  <c:v>4584</c:v>
                </c:pt>
                <c:pt idx="5">
                  <c:v>4744</c:v>
                </c:pt>
                <c:pt idx="6">
                  <c:v>4947</c:v>
                </c:pt>
                <c:pt idx="7">
                  <c:v>5206</c:v>
                </c:pt>
                <c:pt idx="8">
                  <c:v>5516</c:v>
                </c:pt>
                <c:pt idx="9">
                  <c:v>5621</c:v>
                </c:pt>
                <c:pt idx="10">
                  <c:v>5893</c:v>
                </c:pt>
                <c:pt idx="11">
                  <c:v>6222</c:v>
                </c:pt>
                <c:pt idx="12">
                  <c:v>6644</c:v>
                </c:pt>
                <c:pt idx="13">
                  <c:v>6425</c:v>
                </c:pt>
                <c:pt idx="14">
                  <c:v>7119</c:v>
                </c:pt>
                <c:pt idx="15">
                  <c:v>6690</c:v>
                </c:pt>
                <c:pt idx="16">
                  <c:v>7304</c:v>
                </c:pt>
                <c:pt idx="17">
                  <c:v>7554</c:v>
                </c:pt>
                <c:pt idx="18">
                  <c:v>7554</c:v>
                </c:pt>
                <c:pt idx="19">
                  <c:v>7658</c:v>
                </c:pt>
                <c:pt idx="20">
                  <c:v>7727</c:v>
                </c:pt>
                <c:pt idx="21">
                  <c:v>7985</c:v>
                </c:pt>
                <c:pt idx="22">
                  <c:v>7985</c:v>
                </c:pt>
                <c:pt idx="23">
                  <c:v>8022</c:v>
                </c:pt>
                <c:pt idx="24">
                  <c:v>8064</c:v>
                </c:pt>
                <c:pt idx="25">
                  <c:v>8095</c:v>
                </c:pt>
                <c:pt idx="26">
                  <c:v>8055</c:v>
                </c:pt>
                <c:pt idx="27">
                  <c:v>8238</c:v>
                </c:pt>
                <c:pt idx="28">
                  <c:v>8183</c:v>
                </c:pt>
                <c:pt idx="29">
                  <c:v>8122</c:v>
                </c:pt>
                <c:pt idx="30">
                  <c:v>8324</c:v>
                </c:pt>
                <c:pt idx="31">
                  <c:v>8231</c:v>
                </c:pt>
                <c:pt idx="32">
                  <c:v>8263</c:v>
                </c:pt>
                <c:pt idx="33">
                  <c:v>8246</c:v>
                </c:pt>
                <c:pt idx="34">
                  <c:v>8273</c:v>
                </c:pt>
                <c:pt idx="35">
                  <c:v>8518</c:v>
                </c:pt>
                <c:pt idx="36">
                  <c:v>8532</c:v>
                </c:pt>
                <c:pt idx="37">
                  <c:v>8513</c:v>
                </c:pt>
                <c:pt idx="38">
                  <c:v>8641</c:v>
                </c:pt>
                <c:pt idx="39">
                  <c:v>8376</c:v>
                </c:pt>
                <c:pt idx="40">
                  <c:v>8123</c:v>
                </c:pt>
                <c:pt idx="41">
                  <c:v>7917</c:v>
                </c:pt>
                <c:pt idx="42">
                  <c:v>7831</c:v>
                </c:pt>
                <c:pt idx="43">
                  <c:v>7792</c:v>
                </c:pt>
                <c:pt idx="44">
                  <c:v>7788</c:v>
                </c:pt>
                <c:pt idx="45">
                  <c:v>7800</c:v>
                </c:pt>
                <c:pt idx="46">
                  <c:v>7302</c:v>
                </c:pt>
                <c:pt idx="47">
                  <c:v>8418</c:v>
                </c:pt>
                <c:pt idx="48">
                  <c:v>8023</c:v>
                </c:pt>
                <c:pt idx="49">
                  <c:v>7528</c:v>
                </c:pt>
                <c:pt idx="50">
                  <c:v>9182</c:v>
                </c:pt>
                <c:pt idx="51">
                  <c:v>8596</c:v>
                </c:pt>
                <c:pt idx="52">
                  <c:v>8819</c:v>
                </c:pt>
                <c:pt idx="53">
                  <c:v>9156</c:v>
                </c:pt>
                <c:pt idx="54">
                  <c:v>9609</c:v>
                </c:pt>
                <c:pt idx="55">
                  <c:v>9923</c:v>
                </c:pt>
                <c:pt idx="56">
                  <c:v>10351</c:v>
                </c:pt>
                <c:pt idx="57">
                  <c:v>10519</c:v>
                </c:pt>
                <c:pt idx="58">
                  <c:v>11005</c:v>
                </c:pt>
                <c:pt idx="59">
                  <c:v>11305</c:v>
                </c:pt>
                <c:pt idx="60">
                  <c:v>11517</c:v>
                </c:pt>
                <c:pt idx="61">
                  <c:v>11438</c:v>
                </c:pt>
                <c:pt idx="62">
                  <c:v>12328</c:v>
                </c:pt>
                <c:pt idx="63">
                  <c:v>11863</c:v>
                </c:pt>
                <c:pt idx="64">
                  <c:v>12286</c:v>
                </c:pt>
                <c:pt idx="65">
                  <c:v>12276</c:v>
                </c:pt>
                <c:pt idx="66">
                  <c:v>12140</c:v>
                </c:pt>
                <c:pt idx="67">
                  <c:v>12693</c:v>
                </c:pt>
                <c:pt idx="68">
                  <c:v>12976</c:v>
                </c:pt>
                <c:pt idx="69">
                  <c:v>13041</c:v>
                </c:pt>
                <c:pt idx="70">
                  <c:v>13306</c:v>
                </c:pt>
                <c:pt idx="71">
                  <c:v>13573</c:v>
                </c:pt>
                <c:pt idx="72">
                  <c:v>13856</c:v>
                </c:pt>
                <c:pt idx="73">
                  <c:v>13686</c:v>
                </c:pt>
                <c:pt idx="74">
                  <c:v>14276</c:v>
                </c:pt>
                <c:pt idx="75">
                  <c:v>13728</c:v>
                </c:pt>
                <c:pt idx="76">
                  <c:v>14749</c:v>
                </c:pt>
                <c:pt idx="77">
                  <c:v>14734</c:v>
                </c:pt>
                <c:pt idx="78">
                  <c:v>15245</c:v>
                </c:pt>
                <c:pt idx="79">
                  <c:v>15814</c:v>
                </c:pt>
                <c:pt idx="80">
                  <c:v>16042</c:v>
                </c:pt>
                <c:pt idx="81">
                  <c:v>16928</c:v>
                </c:pt>
                <c:pt idx="82">
                  <c:v>17073</c:v>
                </c:pt>
                <c:pt idx="83">
                  <c:v>17610</c:v>
                </c:pt>
                <c:pt idx="84">
                  <c:v>18838</c:v>
                </c:pt>
                <c:pt idx="85">
                  <c:v>19187</c:v>
                </c:pt>
                <c:pt idx="86">
                  <c:v>19271</c:v>
                </c:pt>
                <c:pt idx="87">
                  <c:v>20371</c:v>
                </c:pt>
                <c:pt idx="88">
                  <c:v>20904</c:v>
                </c:pt>
                <c:pt idx="89">
                  <c:v>21262</c:v>
                </c:pt>
                <c:pt idx="90">
                  <c:v>23332</c:v>
                </c:pt>
                <c:pt idx="91">
                  <c:v>23547</c:v>
                </c:pt>
                <c:pt idx="92">
                  <c:v>24509</c:v>
                </c:pt>
                <c:pt idx="93">
                  <c:v>25323</c:v>
                </c:pt>
                <c:pt idx="94">
                  <c:v>25320</c:v>
                </c:pt>
                <c:pt idx="95">
                  <c:v>26459</c:v>
                </c:pt>
                <c:pt idx="96">
                  <c:v>26400</c:v>
                </c:pt>
                <c:pt idx="97">
                  <c:v>25999</c:v>
                </c:pt>
                <c:pt idx="98">
                  <c:v>25926</c:v>
                </c:pt>
                <c:pt idx="99">
                  <c:v>26632</c:v>
                </c:pt>
                <c:pt idx="100">
                  <c:v>26688</c:v>
                </c:pt>
                <c:pt idx="101">
                  <c:v>27269</c:v>
                </c:pt>
                <c:pt idx="102">
                  <c:v>28464</c:v>
                </c:pt>
                <c:pt idx="103">
                  <c:v>28265</c:v>
                </c:pt>
                <c:pt idx="104">
                  <c:v>29361</c:v>
                </c:pt>
                <c:pt idx="105">
                  <c:v>29529</c:v>
                </c:pt>
                <c:pt idx="106">
                  <c:v>29445</c:v>
                </c:pt>
                <c:pt idx="107">
                  <c:v>31002</c:v>
                </c:pt>
                <c:pt idx="108">
                  <c:v>31002</c:v>
                </c:pt>
                <c:pt idx="109">
                  <c:v>29845</c:v>
                </c:pt>
                <c:pt idx="110">
                  <c:v>32087</c:v>
                </c:pt>
                <c:pt idx="111">
                  <c:v>31115</c:v>
                </c:pt>
                <c:pt idx="112">
                  <c:v>30954</c:v>
                </c:pt>
                <c:pt idx="113">
                  <c:v>31781</c:v>
                </c:pt>
                <c:pt idx="114">
                  <c:v>31961</c:v>
                </c:pt>
                <c:pt idx="115">
                  <c:v>32297</c:v>
                </c:pt>
                <c:pt idx="116">
                  <c:v>32490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0"/>
        <c:axId val="22926632"/>
        <c:axId val="96926066"/>
      </c:lineChart>
      <c:dateAx>
        <c:axId val="22926632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6926066"/>
        <c:crosses val="autoZero"/>
        <c:auto val="1"/>
        <c:lblOffset val="100"/>
        <c:baseTimeUnit val="months"/>
      </c:dateAx>
      <c:valAx>
        <c:axId val="9692606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E0E0E0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29266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67d23209-2929-46ec-b50e-8c0d9621ee4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spc="-1" baseline="0">
                <a:solidFill>
                  <a:srgbClr val="1F3864"/>
                </a:solidFill>
                <a:latin typeface="Arial" panose="020B0604020202020204"/>
                <a:ea typeface="+mn-ea"/>
                <a:cs typeface="+mn-cs"/>
              </a:defRPr>
            </a:pPr>
            <a:r>
              <a:rPr sz="1100" b="1" strike="noStrike" spc="-1">
                <a:solidFill>
                  <a:srgbClr val="1F3864"/>
                </a:solidFill>
                <a:latin typeface="Arial" panose="020B0604020202020204"/>
              </a:rPr>
              <a:t>USD/INR monthly change vs Nifty monthly return</a:t>
            </a:r>
            <a:endParaRPr sz="1100" b="1" strike="noStrike" spc="-1">
              <a:solidFill>
                <a:srgbClr val="1F3864"/>
              </a:solidFill>
              <a:latin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"Months"</c:f>
              <c:strCache>
                <c:ptCount val="1"/>
                <c:pt idx="0">
                  <c:v>Months</c:v>
                </c:pt>
              </c:strCache>
            </c:strRef>
          </c:tx>
          <c:spPr>
            <a:ln w="4752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'Monthly Data'!$O$15:$O$121</c:f>
              <c:numCache>
                <c:formatCode>0.00%</c:formatCode>
                <c:ptCount val="107"/>
                <c:pt idx="0">
                  <c:v>-0.0052690487769107</c:v>
                </c:pt>
                <c:pt idx="1">
                  <c:v>-0.00785154237256569</c:v>
                </c:pt>
                <c:pt idx="2">
                  <c:v>-0.00374644322535134</c:v>
                </c:pt>
                <c:pt idx="3">
                  <c:v>0.0222224664692452</c:v>
                </c:pt>
                <c:pt idx="4">
                  <c:v>-0.00090625484807938</c:v>
                </c:pt>
                <c:pt idx="5">
                  <c:v>0.0266895844511648</c:v>
                </c:pt>
                <c:pt idx="6">
                  <c:v>0.0100703652734873</c:v>
                </c:pt>
                <c:pt idx="7">
                  <c:v>0.0166442805762861</c:v>
                </c:pt>
                <c:pt idx="8">
                  <c:v>0.000459349065917491</c:v>
                </c:pt>
                <c:pt idx="9">
                  <c:v>0.0337969414110553</c:v>
                </c:pt>
                <c:pt idx="10">
                  <c:v>0.0228676569076003</c:v>
                </c:pt>
                <c:pt idx="11">
                  <c:v>0.0199345531335375</c:v>
                </c:pt>
                <c:pt idx="12">
                  <c:v>-0.0586023656099988</c:v>
                </c:pt>
                <c:pt idx="13">
                  <c:v>0.00193662123478622</c:v>
                </c:pt>
                <c:pt idx="14">
                  <c:v>0.0177813311783679</c:v>
                </c:pt>
                <c:pt idx="15">
                  <c:v>0.00228062049771038</c:v>
                </c:pt>
                <c:pt idx="16">
                  <c:v>-0.0284288429151924</c:v>
                </c:pt>
                <c:pt idx="17">
                  <c:v>0.00962104225307314</c:v>
                </c:pt>
                <c:pt idx="18">
                  <c:v>-0.000443892045454475</c:v>
                </c:pt>
                <c:pt idx="19">
                  <c:v>-0.0127181408994668</c:v>
                </c:pt>
                <c:pt idx="20">
                  <c:v>-0.000886560840419159</c:v>
                </c:pt>
                <c:pt idx="21">
                  <c:v>0.0421410199994483</c:v>
                </c:pt>
                <c:pt idx="22">
                  <c:v>-0.0149612729345333</c:v>
                </c:pt>
                <c:pt idx="23">
                  <c:v>0.00176133550258184</c:v>
                </c:pt>
                <c:pt idx="24">
                  <c:v>0.0129361173288893</c:v>
                </c:pt>
                <c:pt idx="25">
                  <c:v>-0.00629483238178885</c:v>
                </c:pt>
                <c:pt idx="26">
                  <c:v>0.00330555321716197</c:v>
                </c:pt>
                <c:pt idx="27">
                  <c:v>0.0095078143354177</c:v>
                </c:pt>
                <c:pt idx="28">
                  <c:v>0.0442779074519148</c:v>
                </c:pt>
                <c:pt idx="29">
                  <c:v>-0.00359351019222443</c:v>
                </c:pt>
                <c:pt idx="30">
                  <c:v>0.00694801304666171</c:v>
                </c:pt>
                <c:pt idx="31">
                  <c:v>-0.00145299450400527</c:v>
                </c:pt>
                <c:pt idx="32">
                  <c:v>-0.00999377705985938</c:v>
                </c:pt>
                <c:pt idx="33">
                  <c:v>-0.0157424818314827</c:v>
                </c:pt>
                <c:pt idx="34">
                  <c:v>0.00275425945477337</c:v>
                </c:pt>
                <c:pt idx="35">
                  <c:v>0.00237676461899961</c:v>
                </c:pt>
                <c:pt idx="36">
                  <c:v>-0.00236436979879207</c:v>
                </c:pt>
                <c:pt idx="37">
                  <c:v>-0.0100910183567914</c:v>
                </c:pt>
                <c:pt idx="38">
                  <c:v>-0.0013921285193339</c:v>
                </c:pt>
                <c:pt idx="39">
                  <c:v>0.00121861116708422</c:v>
                </c:pt>
                <c:pt idx="40">
                  <c:v>0.00635124478373728</c:v>
                </c:pt>
                <c:pt idx="41">
                  <c:v>0.00705397069847247</c:v>
                </c:pt>
                <c:pt idx="42">
                  <c:v>-0.0202922867425348</c:v>
                </c:pt>
                <c:pt idx="43">
                  <c:v>0.0251581953390116</c:v>
                </c:pt>
                <c:pt idx="44">
                  <c:v>0.000558203847974781</c:v>
                </c:pt>
                <c:pt idx="45">
                  <c:v>-0.0165821762106603</c:v>
                </c:pt>
                <c:pt idx="46">
                  <c:v>0.0150573587629317</c:v>
                </c:pt>
                <c:pt idx="47">
                  <c:v>0.00714698384353385</c:v>
                </c:pt>
                <c:pt idx="48">
                  <c:v>0.0040475598308769</c:v>
                </c:pt>
                <c:pt idx="49">
                  <c:v>-0.0104676481751533</c:v>
                </c:pt>
                <c:pt idx="50">
                  <c:v>0.00894855489384616</c:v>
                </c:pt>
                <c:pt idx="51">
                  <c:v>0.00694701963786937</c:v>
                </c:pt>
                <c:pt idx="52">
                  <c:v>0.00422450131278795</c:v>
                </c:pt>
                <c:pt idx="53">
                  <c:v>0.00814039845871939</c:v>
                </c:pt>
                <c:pt idx="54">
                  <c:v>0.0162239186016995</c:v>
                </c:pt>
                <c:pt idx="55">
                  <c:v>0.0164554794300069</c:v>
                </c:pt>
                <c:pt idx="56">
                  <c:v>0.00605760424412316</c:v>
                </c:pt>
                <c:pt idx="57">
                  <c:v>0.00376603966492195</c:v>
                </c:pt>
                <c:pt idx="58">
                  <c:v>0.0229906396686379</c:v>
                </c:pt>
                <c:pt idx="59">
                  <c:v>0.010314865816005</c:v>
                </c:pt>
                <c:pt idx="60">
                  <c:v>-0.00966582274793859</c:v>
                </c:pt>
                <c:pt idx="61">
                  <c:v>0.0145740652229862</c:v>
                </c:pt>
                <c:pt idx="62">
                  <c:v>-0.0126530750294132</c:v>
                </c:pt>
                <c:pt idx="63">
                  <c:v>0.0115355394690644</c:v>
                </c:pt>
                <c:pt idx="64">
                  <c:v>-0.00562035567768415</c:v>
                </c:pt>
                <c:pt idx="65">
                  <c:v>-0.00527872006850172</c:v>
                </c:pt>
                <c:pt idx="66">
                  <c:v>0.0109362715188628</c:v>
                </c:pt>
                <c:pt idx="67">
                  <c:v>-0.00767441607309383</c:v>
                </c:pt>
                <c:pt idx="68">
                  <c:v>0.00250235243068242</c:v>
                </c:pt>
                <c:pt idx="69">
                  <c:v>0.005231731796844</c:v>
                </c:pt>
                <c:pt idx="70">
                  <c:v>0.00459128381778084</c:v>
                </c:pt>
                <c:pt idx="71">
                  <c:v>0.00254280141587793</c:v>
                </c:pt>
                <c:pt idx="72">
                  <c:v>0.000970346778881082</c:v>
                </c:pt>
                <c:pt idx="73">
                  <c:v>-0.00280263947210557</c:v>
                </c:pt>
                <c:pt idx="74">
                  <c:v>-0.0004319243855605</c:v>
                </c:pt>
                <c:pt idx="75">
                  <c:v>-0.00187649328061346</c:v>
                </c:pt>
                <c:pt idx="76">
                  <c:v>0.00541817506505926</c:v>
                </c:pt>
                <c:pt idx="77">
                  <c:v>0.00173675454788591</c:v>
                </c:pt>
                <c:pt idx="78">
                  <c:v>-0.00263294328096575</c:v>
                </c:pt>
                <c:pt idx="79">
                  <c:v>0.00185596911360064</c:v>
                </c:pt>
                <c:pt idx="80">
                  <c:v>0.0034821828709195</c:v>
                </c:pt>
                <c:pt idx="81">
                  <c:v>0.00151533244172719</c:v>
                </c:pt>
                <c:pt idx="82">
                  <c:v>-0.000978885406022978</c:v>
                </c:pt>
                <c:pt idx="83">
                  <c:v>0.00357804384356863</c:v>
                </c:pt>
                <c:pt idx="84">
                  <c:v>0.00485797123510201</c:v>
                </c:pt>
                <c:pt idx="85">
                  <c:v>0.0133270845981697</c:v>
                </c:pt>
                <c:pt idx="86">
                  <c:v>0.0118916368460886</c:v>
                </c:pt>
                <c:pt idx="87">
                  <c:v>0.0087625546216934</c:v>
                </c:pt>
                <c:pt idx="88">
                  <c:v>-0.0208145024176035</c:v>
                </c:pt>
                <c:pt idx="89">
                  <c:v>-0.00616839640389155</c:v>
                </c:pt>
                <c:pt idx="90">
                  <c:v>0.00498862480673923</c:v>
                </c:pt>
                <c:pt idx="91">
                  <c:v>0.000773300201923677</c:v>
                </c:pt>
                <c:pt idx="92">
                  <c:v>0.0235025524905927</c:v>
                </c:pt>
                <c:pt idx="93">
                  <c:v>0.00339217674954084</c:v>
                </c:pt>
                <c:pt idx="94">
                  <c:v>0.0107101309711626</c:v>
                </c:pt>
                <c:pt idx="95">
                  <c:v>-0.000768084619950038</c:v>
                </c:pt>
                <c:pt idx="96">
                  <c:v>0.0082457866577399</c:v>
                </c:pt>
                <c:pt idx="97">
                  <c:v>0.00518804279660223</c:v>
                </c:pt>
                <c:pt idx="98">
                  <c:v>0.0220029403979993</c:v>
                </c:pt>
                <c:pt idx="99">
                  <c:v>-0.0102733129992612</c:v>
                </c:pt>
                <c:pt idx="100">
                  <c:v>0.0406809141304085</c:v>
                </c:pt>
                <c:pt idx="101">
                  <c:v>0.00620574025691378</c:v>
                </c:pt>
                <c:pt idx="102">
                  <c:v>0.00149934324985801</c:v>
                </c:pt>
                <c:pt idx="103">
                  <c:v>-0.0082508164324393</c:v>
                </c:pt>
                <c:pt idx="104">
                  <c:v>0.00817252041544436</c:v>
                </c:pt>
                <c:pt idx="105">
                  <c:v>0.000841978555236267</c:v>
                </c:pt>
                <c:pt idx="106">
                  <c:v>0.00557668916689091</c:v>
                </c:pt>
              </c:numCache>
            </c:numRef>
          </c:xVal>
          <c:yVal>
            <c:numRef>
              <c:f>'Monthly Data'!$K$15:$K$121</c:f>
              <c:numCache>
                <c:formatCode>0.00%</c:formatCode>
                <c:ptCount val="107"/>
                <c:pt idx="0">
                  <c:v>-0.0105221909378538</c:v>
                </c:pt>
                <c:pt idx="1">
                  <c:v>0.0297412128234842</c:v>
                </c:pt>
                <c:pt idx="2">
                  <c:v>0.0471953431395824</c:v>
                </c:pt>
                <c:pt idx="3">
                  <c:v>-0.0485005939588491</c:v>
                </c:pt>
                <c:pt idx="4">
                  <c:v>-0.0361341294309935</c:v>
                </c:pt>
                <c:pt idx="5">
                  <c:v>0.0618616332301729</c:v>
                </c:pt>
                <c:pt idx="6">
                  <c:v>-0.000297969616410709</c:v>
                </c:pt>
                <c:pt idx="7">
                  <c:v>-0.00203518020892035</c:v>
                </c:pt>
                <c:pt idx="8">
                  <c:v>0.0599385867485511</c:v>
                </c:pt>
                <c:pt idx="9">
                  <c:v>0.0285299167877426</c:v>
                </c:pt>
                <c:pt idx="10">
                  <c:v>-0.0642138607080176</c:v>
                </c:pt>
                <c:pt idx="11">
                  <c:v>-0.0497554995448495</c:v>
                </c:pt>
                <c:pt idx="12">
                  <c:v>0.0471906109795313</c:v>
                </c:pt>
                <c:pt idx="13">
                  <c:v>-0.00130553704001657</c:v>
                </c:pt>
                <c:pt idx="14">
                  <c:v>-0.00290907751863034</c:v>
                </c:pt>
                <c:pt idx="15">
                  <c:v>-0.00355001177182068</c:v>
                </c:pt>
                <c:pt idx="16">
                  <c:v>0.0770349779939772</c:v>
                </c:pt>
                <c:pt idx="17">
                  <c:v>0.0106891834926315</c:v>
                </c:pt>
                <c:pt idx="18">
                  <c:v>0.0148661704183211</c:v>
                </c:pt>
                <c:pt idx="19">
                  <c:v>-0.0112347770657898</c:v>
                </c:pt>
                <c:pt idx="20">
                  <c:v>-0.0569054657578983</c:v>
                </c:pt>
                <c:pt idx="21">
                  <c:v>-0.00852221622593996</c:v>
                </c:pt>
                <c:pt idx="22">
                  <c:v>0.0409316671580524</c:v>
                </c:pt>
                <c:pt idx="23">
                  <c:v>0.035121509091939</c:v>
                </c:pt>
                <c:pt idx="24">
                  <c:v>0.0150368976505899</c:v>
                </c:pt>
                <c:pt idx="25">
                  <c:v>0.00932311992733958</c:v>
                </c:pt>
                <c:pt idx="26">
                  <c:v>-0.0169577883789637</c:v>
                </c:pt>
                <c:pt idx="27">
                  <c:v>-0.0635632539437055</c:v>
                </c:pt>
                <c:pt idx="28">
                  <c:v>-0.232463677550383</c:v>
                </c:pt>
                <c:pt idx="29">
                  <c:v>0.14680003489285</c:v>
                </c:pt>
                <c:pt idx="30">
                  <c:v>-0.0283572855708476</c:v>
                </c:pt>
                <c:pt idx="31">
                  <c:v>0.0753421082847094</c:v>
                </c:pt>
                <c:pt idx="32">
                  <c:v>0.0748730841284786</c:v>
                </c:pt>
                <c:pt idx="33">
                  <c:v>0.0283606283497915</c:v>
                </c:pt>
                <c:pt idx="34">
                  <c:v>-0.0122897914379803</c:v>
                </c:pt>
                <c:pt idx="35">
                  <c:v>0.0351054229587777</c:v>
                </c:pt>
                <c:pt idx="36">
                  <c:v>0.113941283584141</c:v>
                </c:pt>
                <c:pt idx="37">
                  <c:v>0.0780942173421904</c:v>
                </c:pt>
                <c:pt idx="38">
                  <c:v>-0.0248287946787776</c:v>
                </c:pt>
                <c:pt idx="39">
                  <c:v>0.065608818740557</c:v>
                </c:pt>
                <c:pt idx="40">
                  <c:v>0.0111190262334686</c:v>
                </c:pt>
                <c:pt idx="41">
                  <c:v>-0.00405698843486013</c:v>
                </c:pt>
                <c:pt idx="42">
                  <c:v>0.0650463738201501</c:v>
                </c:pt>
                <c:pt idx="43">
                  <c:v>0.00890083938701647</c:v>
                </c:pt>
                <c:pt idx="44">
                  <c:v>0.00264287758801629</c:v>
                </c:pt>
                <c:pt idx="45">
                  <c:v>0.0868581905151606</c:v>
                </c:pt>
                <c:pt idx="46">
                  <c:v>0.0283647167322352</c:v>
                </c:pt>
                <c:pt idx="47">
                  <c:v>0.00303664119104452</c:v>
                </c:pt>
                <c:pt idx="48">
                  <c:v>-0.0389578788624718</c:v>
                </c:pt>
                <c:pt idx="49">
                  <c:v>0.0218362852701492</c:v>
                </c:pt>
                <c:pt idx="50">
                  <c:v>-0.000818252799778763</c:v>
                </c:pt>
                <c:pt idx="51">
                  <c:v>-0.0314852781310102</c:v>
                </c:pt>
                <c:pt idx="52">
                  <c:v>0.0399460518402515</c:v>
                </c:pt>
                <c:pt idx="53">
                  <c:v>-0.0207389169613078</c:v>
                </c:pt>
                <c:pt idx="54">
                  <c:v>-0.0302878810469783</c:v>
                </c:pt>
                <c:pt idx="55">
                  <c:v>-0.0484969444452819</c:v>
                </c:pt>
                <c:pt idx="56">
                  <c:v>0.087324345305049</c:v>
                </c:pt>
                <c:pt idx="57">
                  <c:v>0.0350297961621959</c:v>
                </c:pt>
                <c:pt idx="58">
                  <c:v>-0.0374423541468414</c:v>
                </c:pt>
                <c:pt idx="59">
                  <c:v>0.0536931793253328</c:v>
                </c:pt>
                <c:pt idx="60">
                  <c:v>0.0414247010359643</c:v>
                </c:pt>
                <c:pt idx="61">
                  <c:v>-0.0348138295745628</c:v>
                </c:pt>
                <c:pt idx="62">
                  <c:v>-0.0244762583331951</c:v>
                </c:pt>
                <c:pt idx="63">
                  <c:v>-0.0202806566584476</c:v>
                </c:pt>
                <c:pt idx="64">
                  <c:v>0.00322469725120555</c:v>
                </c:pt>
                <c:pt idx="65">
                  <c:v>0.0406255850458677</c:v>
                </c:pt>
                <c:pt idx="66">
                  <c:v>0.0259839468585663</c:v>
                </c:pt>
                <c:pt idx="67">
                  <c:v>0.0353208088743093</c:v>
                </c:pt>
                <c:pt idx="68">
                  <c:v>0.0294308472800895</c:v>
                </c:pt>
                <c:pt idx="69">
                  <c:v>-0.0253115856189695</c:v>
                </c:pt>
                <c:pt idx="70">
                  <c:v>0.019970083827608</c:v>
                </c:pt>
                <c:pt idx="71">
                  <c:v>-0.0284495093770846</c:v>
                </c:pt>
                <c:pt idx="72">
                  <c:v>0.0552186628650497</c:v>
                </c:pt>
                <c:pt idx="73">
                  <c:v>0.0793840010132543</c:v>
                </c:pt>
                <c:pt idx="74">
                  <c:v>-0.000262293271487413</c:v>
                </c:pt>
                <c:pt idx="75">
                  <c:v>0.0118339109902097</c:v>
                </c:pt>
                <c:pt idx="76">
                  <c:v>0.015653147005841</c:v>
                </c:pt>
                <c:pt idx="77">
                  <c:v>0.0124491084745306</c:v>
                </c:pt>
                <c:pt idx="78">
                  <c:v>-0.00328026949968696</c:v>
                </c:pt>
                <c:pt idx="79">
                  <c:v>0.0656837115580073</c:v>
                </c:pt>
                <c:pt idx="80">
                  <c:v>0.03917228224201</c:v>
                </c:pt>
                <c:pt idx="81">
                  <c:v>0.0114122996334838</c:v>
                </c:pt>
                <c:pt idx="82">
                  <c:v>0.0227830194286709</c:v>
                </c:pt>
                <c:pt idx="83">
                  <c:v>-0.0622025233574253</c:v>
                </c:pt>
                <c:pt idx="84">
                  <c:v>-0.00306750367170894</c:v>
                </c:pt>
                <c:pt idx="85">
                  <c:v>-0.0201524174198441</c:v>
                </c:pt>
                <c:pt idx="86">
                  <c:v>-0.00576871024495862</c:v>
                </c:pt>
                <c:pt idx="87">
                  <c:v>-0.0588598118119481</c:v>
                </c:pt>
                <c:pt idx="88">
                  <c:v>0.0630358829724245</c:v>
                </c:pt>
                <c:pt idx="89">
                  <c:v>0.0346459404702937</c:v>
                </c:pt>
                <c:pt idx="90">
                  <c:v>0.0171158287513047</c:v>
                </c:pt>
                <c:pt idx="91">
                  <c:v>0.0309627606491938</c:v>
                </c:pt>
                <c:pt idx="92">
                  <c:v>-0.0293411660046911</c:v>
                </c:pt>
                <c:pt idx="93">
                  <c:v>-0.013787757359695</c:v>
                </c:pt>
                <c:pt idx="94">
                  <c:v>0.00754292919471822</c:v>
                </c:pt>
                <c:pt idx="95">
                  <c:v>0.0451422325698567</c:v>
                </c:pt>
                <c:pt idx="96">
                  <c:v>0.0186940413107795</c:v>
                </c:pt>
                <c:pt idx="97">
                  <c:v>-0.00279930313189936</c:v>
                </c:pt>
                <c:pt idx="98">
                  <c:v>-0.0309591421223439</c:v>
                </c:pt>
                <c:pt idx="99">
                  <c:v>-0.00560807088285653</c:v>
                </c:pt>
                <c:pt idx="100">
                  <c:v>-0.113081916623806</c:v>
                </c:pt>
                <c:pt idx="101">
                  <c:v>0.0746101901358625</c:v>
                </c:pt>
                <c:pt idx="102">
                  <c:v>-0.0187435800737992</c:v>
                </c:pt>
                <c:pt idx="103">
                  <c:v>0.0135044749498359</c:v>
                </c:pt>
                <c:pt idx="104">
                  <c:v>0.0216984590888616</c:v>
                </c:pt>
                <c:pt idx="105">
                  <c:v>-0.0124345871815481</c:v>
                </c:pt>
                <c:pt idx="106">
                  <c:v>-0.0606281457118653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13862548"/>
        <c:axId val="13517225"/>
      </c:scatterChart>
      <c:valAx>
        <c:axId val="13862548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USD/INR change (positive = rupee weaker)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low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3517225"/>
        <c:crosses val="autoZero"/>
        <c:crossBetween val="midCat"/>
      </c:valAx>
      <c:valAx>
        <c:axId val="1351722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E0E0E0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Nifty return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low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386254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b3f3d09a-80c1-4be9-bdef-17e911a60321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spc="-1" baseline="0">
                <a:solidFill>
                  <a:srgbClr val="1F3864"/>
                </a:solidFill>
                <a:latin typeface="Arial" panose="020B0604020202020204"/>
                <a:ea typeface="+mn-ea"/>
                <a:cs typeface="+mn-cs"/>
              </a:defRPr>
            </a:pPr>
            <a:r>
              <a:rPr sz="1100" b="1" strike="noStrike" spc="-1">
                <a:solidFill>
                  <a:srgbClr val="1F3864"/>
                </a:solidFill>
                <a:latin typeface="Arial" panose="020B0604020202020204"/>
              </a:rPr>
              <a:t>Average Nifty monthly return by flow regime</a:t>
            </a:r>
            <a:endParaRPr sz="1100" b="1" strike="noStrike" spc="-1">
              <a:solidFill>
                <a:srgbClr val="1F3864"/>
              </a:solidFill>
              <a:latin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'Offset Analysis'!$C$5</c:f>
              <c:strCache>
                <c:ptCount val="1"/>
                <c:pt idx="0">
                  <c:v>Mean Nifty return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'Offset Analysis'!$A$6:$A$9</c:f>
              <c:strCache>
                <c:ptCount val="4"/>
                <c:pt idx="0">
                  <c:v>FPI net sellers (all)</c:v>
                </c:pt>
                <c:pt idx="1">
                  <c:v>   of which fully offset by DII</c:v>
                </c:pt>
                <c:pt idx="2">
                  <c:v>   of which not fully offset</c:v>
                </c:pt>
                <c:pt idx="3">
                  <c:v>FPI not selling</c:v>
                </c:pt>
              </c:strCache>
            </c:strRef>
          </c:cat>
          <c:val>
            <c:numRef>
              <c:f>'Offset Analysis'!$C$6:$C$9</c:f>
              <c:numCache>
                <c:formatCode>0.00%</c:formatCode>
                <c:ptCount val="4"/>
                <c:pt idx="0">
                  <c:v>-0.0107805885331216</c:v>
                </c:pt>
                <c:pt idx="1">
                  <c:v>-0.0132511378611117</c:v>
                </c:pt>
                <c:pt idx="2">
                  <c:v>-0.00157217740152229</c:v>
                </c:pt>
                <c:pt idx="3">
                  <c:v>0.0260806908169487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96298092"/>
        <c:axId val="61590256"/>
      </c:barChart>
      <c:catAx>
        <c:axId val="962980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1590256"/>
        <c:crosses val="autoZero"/>
        <c:auto val="1"/>
        <c:lblAlgn val="ctr"/>
        <c:lblOffset val="100"/>
        <c:noMultiLvlLbl val="0"/>
      </c:catAx>
      <c:valAx>
        <c:axId val="61590256"/>
        <c:scaling>
          <c:orientation val="minMax"/>
        </c:scaling>
        <c:delete val="0"/>
        <c:axPos val="t"/>
        <c:majorGridlines>
          <c:spPr>
            <a:ln w="9360" cap="flat" cmpd="sng" algn="ctr">
              <a:solidFill>
                <a:srgbClr val="E0E0E0"/>
              </a:solidFill>
              <a:prstDash val="solid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62980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aef9018-c9f2-468d-864b-cfcf5ce61e4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7</xdr:col>
      <xdr:colOff>36720</xdr:colOff>
      <xdr:row>31</xdr:row>
      <xdr:rowOff>140400</xdr:rowOff>
    </xdr:to>
    <xdr:graphicFrame>
      <xdr:nvGraphicFramePr>
        <xdr:cNvPr id="2" name="Chart 1"/>
        <xdr:cNvGraphicFramePr/>
      </xdr:nvGraphicFramePr>
      <xdr:xfrm>
        <a:off x="137160" y="4825365"/>
        <a:ext cx="4973955" cy="270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13</xdr:col>
      <xdr:colOff>36720</xdr:colOff>
      <xdr:row>31</xdr:row>
      <xdr:rowOff>140400</xdr:rowOff>
    </xdr:to>
    <xdr:graphicFrame>
      <xdr:nvGraphicFramePr>
        <xdr:cNvPr id="3" name="Chart 2"/>
        <xdr:cNvGraphicFramePr/>
      </xdr:nvGraphicFramePr>
      <xdr:xfrm>
        <a:off x="5074920" y="4825365"/>
        <a:ext cx="4973955" cy="270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7</xdr:col>
      <xdr:colOff>36720</xdr:colOff>
      <xdr:row>47</xdr:row>
      <xdr:rowOff>140760</xdr:rowOff>
    </xdr:to>
    <xdr:graphicFrame>
      <xdr:nvGraphicFramePr>
        <xdr:cNvPr id="4" name="Chart 3"/>
        <xdr:cNvGraphicFramePr/>
      </xdr:nvGraphicFramePr>
      <xdr:xfrm>
        <a:off x="137160" y="7751445"/>
        <a:ext cx="4973955" cy="270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13</xdr:col>
      <xdr:colOff>36720</xdr:colOff>
      <xdr:row>47</xdr:row>
      <xdr:rowOff>140760</xdr:rowOff>
    </xdr:to>
    <xdr:graphicFrame>
      <xdr:nvGraphicFramePr>
        <xdr:cNvPr id="5" name="Chart 4"/>
        <xdr:cNvGraphicFramePr/>
      </xdr:nvGraphicFramePr>
      <xdr:xfrm>
        <a:off x="5074920" y="7751445"/>
        <a:ext cx="4973955" cy="270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  <pageSetUpPr fitToPage="1"/>
  </sheetPr>
  <dimension ref="B2:M50"/>
  <sheetViews>
    <sheetView showGridLines="0" topLeftCell="A32" workbookViewId="0">
      <selection activeCell="F15" sqref="F15:M15"/>
    </sheetView>
  </sheetViews>
  <sheetFormatPr defaultColWidth="8.67592592592593" defaultRowHeight="14.4"/>
  <cols>
    <col min="1" max="1" width="2" customWidth="1"/>
    <col min="2" max="13" width="12" customWidth="1"/>
    <col min="14" max="14" width="2" customWidth="1"/>
  </cols>
  <sheetData>
    <row r="2" ht="30" customHeight="1" spans="2:13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2:13">
      <c r="B3" s="45" t="s">
        <v>1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ht="19.5" customHeight="1" spans="2:13">
      <c r="B4" s="46" t="s">
        <v>2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ht="18" customHeight="1" spans="2:13">
      <c r="B6" s="47" t="s">
        <v>3</v>
      </c>
      <c r="C6" s="47"/>
      <c r="D6" s="47"/>
      <c r="E6" s="47"/>
      <c r="F6" s="47" t="s">
        <v>4</v>
      </c>
      <c r="G6" s="47"/>
      <c r="H6" s="47"/>
      <c r="I6" s="47"/>
      <c r="J6" s="47" t="s">
        <v>5</v>
      </c>
      <c r="K6" s="47"/>
      <c r="L6" s="47"/>
      <c r="M6" s="47"/>
    </row>
    <row r="7" ht="33.75" customHeight="1" spans="2:13">
      <c r="B7" s="48">
        <f>COUNT('Monthly Data'!$A$5:$A$121)</f>
        <v>117</v>
      </c>
      <c r="C7" s="48"/>
      <c r="D7" s="48"/>
      <c r="E7" s="48"/>
      <c r="F7" s="49">
        <f>'Offset Analysis'!B10</f>
        <v>0.792452830188679</v>
      </c>
      <c r="G7" s="49"/>
      <c r="H7" s="49"/>
      <c r="I7" s="49"/>
      <c r="J7" s="50">
        <f>'Monthly Data'!L121/'Monthly Data'!L5</f>
        <v>7.93406593406593</v>
      </c>
      <c r="K7" s="50"/>
      <c r="L7" s="50"/>
      <c r="M7" s="50"/>
    </row>
    <row r="8" ht="18" customHeight="1" spans="2:13">
      <c r="B8" s="47" t="s">
        <v>6</v>
      </c>
      <c r="C8" s="47"/>
      <c r="D8" s="47"/>
      <c r="E8" s="47"/>
      <c r="F8" s="47" t="str">
        <f>'Offset Analysis'!B7&amp;" of "&amp;'Offset Analysis'!B6&amp;" months"</f>
        <v>42 of 53 months</v>
      </c>
      <c r="G8" s="47"/>
      <c r="H8" s="47"/>
      <c r="I8" s="47"/>
      <c r="J8" s="47" t="s">
        <v>7</v>
      </c>
      <c r="K8" s="47"/>
      <c r="L8" s="47"/>
      <c r="M8" s="47"/>
    </row>
    <row r="10" ht="15.6" spans="2:13">
      <c r="B10" s="51" t="s">
        <v>8</v>
      </c>
    </row>
    <row r="11" ht="31.5" customHeight="1" spans="2:13">
      <c r="B11" s="52" t="s">
        <v>9</v>
      </c>
      <c r="C11" s="52"/>
      <c r="D11" s="52"/>
      <c r="E11" s="52"/>
      <c r="F11" s="53" t="s">
        <v>10</v>
      </c>
      <c r="G11" s="53"/>
      <c r="H11" s="53"/>
      <c r="I11" s="53"/>
      <c r="J11" s="53"/>
      <c r="K11" s="53"/>
      <c r="L11" s="53"/>
      <c r="M11" s="53"/>
    </row>
    <row r="12" ht="31.5" customHeight="1" spans="2:13">
      <c r="B12" s="52" t="s">
        <v>11</v>
      </c>
      <c r="C12" s="52"/>
      <c r="D12" s="52"/>
      <c r="E12" s="52"/>
      <c r="F12" s="53" t="s">
        <v>12</v>
      </c>
      <c r="G12" s="53"/>
      <c r="H12" s="53"/>
      <c r="I12" s="53"/>
      <c r="J12" s="53"/>
      <c r="K12" s="53"/>
      <c r="L12" s="53"/>
      <c r="M12" s="53"/>
    </row>
    <row r="13" ht="31.5" customHeight="1" spans="2:13">
      <c r="B13" s="52" t="s">
        <v>13</v>
      </c>
      <c r="C13" s="52"/>
      <c r="D13" s="52"/>
      <c r="E13" s="52"/>
      <c r="F13" s="53" t="s">
        <v>14</v>
      </c>
      <c r="G13" s="53"/>
      <c r="H13" s="53"/>
      <c r="I13" s="53"/>
      <c r="J13" s="53"/>
      <c r="K13" s="53"/>
      <c r="L13" s="53"/>
      <c r="M13" s="53"/>
    </row>
    <row r="14" ht="31.5" customHeight="1" spans="2:13">
      <c r="B14" s="52" t="s">
        <v>15</v>
      </c>
      <c r="C14" s="52"/>
      <c r="D14" s="52"/>
      <c r="E14" s="52"/>
      <c r="F14" s="53" t="s">
        <v>16</v>
      </c>
      <c r="G14" s="53"/>
      <c r="H14" s="53"/>
      <c r="I14" s="53"/>
      <c r="J14" s="53"/>
      <c r="K14" s="53"/>
      <c r="L14" s="53"/>
      <c r="M14" s="53"/>
    </row>
    <row r="15" ht="31.5" customHeight="1" spans="2:13">
      <c r="B15" s="52" t="s">
        <v>17</v>
      </c>
      <c r="C15" s="52"/>
      <c r="D15" s="52"/>
      <c r="E15" s="52"/>
      <c r="F15" s="53" t="s">
        <v>18</v>
      </c>
      <c r="G15" s="53"/>
      <c r="H15" s="53"/>
      <c r="I15" s="53"/>
      <c r="J15" s="53"/>
      <c r="K15" s="53"/>
      <c r="L15" s="53"/>
      <c r="M15" s="53"/>
    </row>
    <row r="17" ht="15.6" spans="2:2">
      <c r="B17" s="51" t="s">
        <v>19</v>
      </c>
    </row>
    <row r="50" spans="2:2">
      <c r="B50" s="36" t="s">
        <v>20</v>
      </c>
    </row>
  </sheetData>
  <mergeCells count="22">
    <mergeCell ref="B2:M2"/>
    <mergeCell ref="B3:M3"/>
    <mergeCell ref="B4:M4"/>
    <mergeCell ref="B6:E6"/>
    <mergeCell ref="F6:I6"/>
    <mergeCell ref="J6:M6"/>
    <mergeCell ref="B7:E7"/>
    <mergeCell ref="F7:I7"/>
    <mergeCell ref="J7:M7"/>
    <mergeCell ref="B8:E8"/>
    <mergeCell ref="F8:I8"/>
    <mergeCell ref="J8:M8"/>
    <mergeCell ref="B11:E11"/>
    <mergeCell ref="F11:M11"/>
    <mergeCell ref="B12:E12"/>
    <mergeCell ref="F12:M12"/>
    <mergeCell ref="B13:E13"/>
    <mergeCell ref="F13:M13"/>
    <mergeCell ref="B14:E14"/>
    <mergeCell ref="F14:M14"/>
    <mergeCell ref="B15:E15"/>
    <mergeCell ref="F15:M15"/>
  </mergeCells>
  <pageMargins left="0.75" right="0.75" top="1" bottom="1" header="0.511811023622047" footer="0.511811023622047"/>
  <pageSetup paperSize="1" orientation="landscape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  <pageSetUpPr fitToPage="1"/>
  </sheetPr>
  <dimension ref="A1:E11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8.67592592592593" defaultRowHeight="14.4" outlineLevelCol="4"/>
  <cols>
    <col min="1" max="1" width="5" customWidth="1"/>
    <col min="2" max="2" width="28" customWidth="1"/>
    <col min="3" max="3" width="56" customWidth="1"/>
    <col min="4" max="5" width="40" customWidth="1"/>
  </cols>
  <sheetData>
    <row r="1" ht="24" customHeight="1" spans="1:5">
      <c r="A1" s="1" t="s">
        <v>21</v>
      </c>
    </row>
    <row r="2" spans="1:5">
      <c r="A2" s="5" t="s">
        <v>22</v>
      </c>
    </row>
    <row r="4" ht="25.5" customHeight="1" spans="1:5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</row>
    <row r="5" ht="91.5" customHeight="1" spans="1:5">
      <c r="A5" s="43">
        <v>1</v>
      </c>
      <c r="B5" s="3" t="s">
        <v>28</v>
      </c>
      <c r="C5" s="4" t="s">
        <v>29</v>
      </c>
      <c r="D5" s="4" t="s">
        <v>30</v>
      </c>
      <c r="E5" s="4" t="s">
        <v>31</v>
      </c>
    </row>
    <row r="6" ht="91.5" customHeight="1" spans="1:5">
      <c r="A6" s="43">
        <v>2</v>
      </c>
      <c r="B6" s="3" t="s">
        <v>32</v>
      </c>
      <c r="C6" s="4" t="s">
        <v>33</v>
      </c>
      <c r="D6" s="4" t="s">
        <v>34</v>
      </c>
      <c r="E6" s="4" t="s">
        <v>35</v>
      </c>
    </row>
    <row r="7" ht="91.5" customHeight="1" spans="1:5">
      <c r="A7" s="43">
        <v>3</v>
      </c>
      <c r="B7" s="3" t="s">
        <v>36</v>
      </c>
      <c r="C7" s="4" t="s">
        <v>37</v>
      </c>
      <c r="D7" s="4" t="s">
        <v>38</v>
      </c>
      <c r="E7" s="4" t="s">
        <v>39</v>
      </c>
    </row>
    <row r="8" ht="91.5" customHeight="1" spans="1:5">
      <c r="A8" s="43">
        <v>4</v>
      </c>
      <c r="B8" s="3" t="s">
        <v>40</v>
      </c>
      <c r="C8" s="4" t="s">
        <v>41</v>
      </c>
      <c r="D8" s="4" t="s">
        <v>42</v>
      </c>
      <c r="E8" s="4" t="s">
        <v>43</v>
      </c>
    </row>
    <row r="9" ht="91.5" customHeight="1" spans="1:5">
      <c r="A9" s="43">
        <v>5</v>
      </c>
      <c r="B9" s="3" t="s">
        <v>44</v>
      </c>
      <c r="C9" s="4" t="s">
        <v>45</v>
      </c>
      <c r="D9" s="4" t="s">
        <v>46</v>
      </c>
      <c r="E9" s="4" t="s">
        <v>47</v>
      </c>
    </row>
    <row r="10" ht="91.5" customHeight="1" spans="1:5">
      <c r="A10" s="43">
        <v>6</v>
      </c>
      <c r="B10" s="3" t="s">
        <v>48</v>
      </c>
      <c r="C10" s="4" t="s">
        <v>49</v>
      </c>
      <c r="D10" s="4" t="s">
        <v>50</v>
      </c>
      <c r="E10" s="4" t="s">
        <v>51</v>
      </c>
    </row>
    <row r="11" ht="91.5" customHeight="1" spans="1:5">
      <c r="A11" s="43">
        <v>7</v>
      </c>
      <c r="B11" s="3" t="s">
        <v>52</v>
      </c>
      <c r="C11" s="4" t="s">
        <v>53</v>
      </c>
      <c r="D11" s="4" t="s">
        <v>54</v>
      </c>
      <c r="E11" s="4" t="s">
        <v>55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  <pageSetUpPr fitToPage="1"/>
  </sheetPr>
  <dimension ref="A1:H38"/>
  <sheetViews>
    <sheetView showGridLines="0" workbookViewId="0">
      <pane ySplit="3" topLeftCell="A5" activePane="bottomLeft" state="frozen"/>
      <selection/>
      <selection pane="bottomLeft" activeCell="A1" sqref="A1"/>
    </sheetView>
  </sheetViews>
  <sheetFormatPr defaultColWidth="8.67592592592593" defaultRowHeight="14.4" outlineLevelCol="7"/>
  <cols>
    <col min="1" max="1" width="44" customWidth="1"/>
    <col min="2" max="2" width="14" customWidth="1"/>
    <col min="3" max="3" width="16" customWidth="1"/>
    <col min="4" max="4" width="18" customWidth="1"/>
    <col min="5" max="5" width="16" customWidth="1"/>
    <col min="6" max="6" width="20" customWidth="1"/>
    <col min="7" max="7" width="16" customWidth="1"/>
    <col min="8" max="8" width="12" customWidth="1"/>
  </cols>
  <sheetData>
    <row r="1" ht="24" customHeight="1" spans="1:6">
      <c r="A1" s="1" t="s">
        <v>56</v>
      </c>
    </row>
    <row r="2" spans="1:6">
      <c r="A2" s="5" t="s">
        <v>57</v>
      </c>
    </row>
    <row r="4" spans="1:6">
      <c r="A4" s="2" t="s">
        <v>58</v>
      </c>
    </row>
    <row r="5" ht="33.75" customHeight="1" spans="1:6">
      <c r="A5" s="6" t="s">
        <v>59</v>
      </c>
      <c r="B5" s="6" t="s">
        <v>60</v>
      </c>
      <c r="C5" s="6" t="s">
        <v>61</v>
      </c>
      <c r="D5" s="6" t="s">
        <v>62</v>
      </c>
      <c r="E5" s="6" t="s">
        <v>63</v>
      </c>
      <c r="F5" s="6" t="s">
        <v>64</v>
      </c>
    </row>
    <row r="6" spans="1:6">
      <c r="A6" s="29" t="s">
        <v>65</v>
      </c>
      <c r="B6" s="29">
        <f>COUNTIF('Monthly Data'!$G$5:$G$121,"Yes")</f>
        <v>53</v>
      </c>
      <c r="C6" s="30">
        <f>AVERAGEIFS('Monthly Data'!$K$5:$K$121,'Monthly Data'!$G$5:$G$121,"Yes")</f>
        <v>-0.0107805885331216</v>
      </c>
      <c r="D6" s="37">
        <f>COUNTIFS('Monthly Data'!$G$5:$G$121,"Yes",'Monthly Data'!$K$5:$K$121,"&gt;0")/COUNTIFS('Monthly Data'!$G$5:$G$121,"Yes",'Monthly Data'!$K$5:$K$121,"&gt;-1")</f>
        <v>0.307692307692308</v>
      </c>
      <c r="E6" s="28">
        <f>AVERAGEIFS('Monthly Data'!$D$5:$D$121,'Monthly Data'!$G$5:$G$121,"Yes")</f>
        <v>-24577.1320754717</v>
      </c>
      <c r="F6" s="28">
        <f>AVERAGEIFS('Monthly Data'!$E$5:$E$121,'Monthly Data'!$G$5:$G$121,"Yes")</f>
        <v>38698.8924528302</v>
      </c>
    </row>
    <row r="7" spans="1:6">
      <c r="A7" s="29" t="s">
        <v>66</v>
      </c>
      <c r="B7" s="29">
        <f>COUNTIF('Monthly Data'!$H$5:$H$121,"Yes")</f>
        <v>42</v>
      </c>
      <c r="C7" s="30">
        <f>AVERAGEIFS('Monthly Data'!$K$5:$K$121,'Monthly Data'!$H$5:$H$121,"Yes")</f>
        <v>-0.0132511378611117</v>
      </c>
      <c r="D7" s="37">
        <f>COUNTIFS('Monthly Data'!$H$5:$H$121,"Yes",'Monthly Data'!$K$5:$K$121,"&gt;0")/COUNTIFS('Monthly Data'!$H$5:$H$121,"Yes",'Monthly Data'!$K$5:$K$121,"&gt;-1")</f>
        <v>0.268292682926829</v>
      </c>
      <c r="E7" s="28">
        <f>AVERAGEIFS('Monthly Data'!$D$5:$D$121,'Monthly Data'!$H$5:$H$121,"Yes")</f>
        <v>-23590.119047619</v>
      </c>
      <c r="F7" s="28">
        <f>AVERAGEIFS('Monthly Data'!$E$5:$E$121,'Monthly Data'!$H$5:$H$121,"Yes")</f>
        <v>42892.0309523809</v>
      </c>
    </row>
    <row r="8" spans="1:6">
      <c r="A8" s="29" t="s">
        <v>67</v>
      </c>
      <c r="B8" s="29">
        <f>COUNTIF('Monthly Data'!$H$5:$H$121,"No")</f>
        <v>11</v>
      </c>
      <c r="C8" s="30">
        <f>AVERAGEIFS('Monthly Data'!$K$5:$K$121,'Monthly Data'!$H$5:$H$121,"No")</f>
        <v>-0.00157217740152229</v>
      </c>
      <c r="D8" s="37">
        <f>COUNTIFS('Monthly Data'!$H$5:$H$121,"No",'Monthly Data'!$K$5:$K$121,"&gt;0")/COUNTIFS('Monthly Data'!$H$5:$H$121,"No",'Monthly Data'!$K$5:$K$121,"&gt;-1")</f>
        <v>0.454545454545455</v>
      </c>
      <c r="E8" s="28">
        <f>AVERAGEIFS('Monthly Data'!$D$5:$D$121,'Monthly Data'!$H$5:$H$121,"No")</f>
        <v>-28345.7272727273</v>
      </c>
      <c r="F8" s="28">
        <f>AVERAGEIFS('Monthly Data'!$E$5:$E$121,'Monthly Data'!$H$5:$H$121,"No")</f>
        <v>22688.7272727273</v>
      </c>
    </row>
    <row r="9" spans="1:6">
      <c r="A9" s="29" t="s">
        <v>68</v>
      </c>
      <c r="B9" s="29">
        <f>COUNTIF('Monthly Data'!$G$5:$G$121,"No")</f>
        <v>64</v>
      </c>
      <c r="C9" s="30">
        <f>AVERAGEIFS('Monthly Data'!$K$5:$K$121,'Monthly Data'!$G$5:$G$121,"No")</f>
        <v>0.0260806908169487</v>
      </c>
      <c r="D9" s="37">
        <f>COUNTIFS('Monthly Data'!$G$5:$G$121,"No",'Monthly Data'!$K$5:$K$121,"&gt;0")/COUNTIFS('Monthly Data'!$G$5:$G$121,"No",'Monthly Data'!$K$5:$K$121,"&gt;-1")</f>
        <v>0.765625</v>
      </c>
      <c r="E9" s="28">
        <f>AVERAGEIFS('Monthly Data'!$D$5:$D$121,'Monthly Data'!$G$5:$G$121,"No")</f>
        <v>19397.953125</v>
      </c>
      <c r="F9" s="28">
        <f>AVERAGEIFS('Monthly Data'!$E$5:$E$121,'Monthly Data'!$G$5:$G$121,"No")</f>
        <v>10416.2609375</v>
      </c>
    </row>
    <row r="10" spans="1:6">
      <c r="A10" s="38" t="s">
        <v>69</v>
      </c>
      <c r="B10" s="39">
        <f>B7/B6</f>
        <v>0.792452830188679</v>
      </c>
    </row>
    <row r="11" spans="1:6">
      <c r="A11" s="36" t="s">
        <v>70</v>
      </c>
    </row>
    <row r="13" spans="1:6">
      <c r="A13" s="2" t="s">
        <v>71</v>
      </c>
    </row>
    <row r="14" ht="33.75" customHeight="1" spans="1:6">
      <c r="A14" s="6" t="s">
        <v>72</v>
      </c>
      <c r="B14" s="6" t="s">
        <v>73</v>
      </c>
      <c r="C14" s="6" t="s">
        <v>74</v>
      </c>
      <c r="D14" s="6" t="s">
        <v>75</v>
      </c>
      <c r="E14" s="6" t="s">
        <v>76</v>
      </c>
      <c r="F14" s="6" t="s">
        <v>77</v>
      </c>
    </row>
    <row r="15" spans="1:6">
      <c r="A15" s="29" t="s">
        <v>78</v>
      </c>
      <c r="B15" s="29">
        <f>COUNTIFS('Monthly Data'!$G$5:$G$121,"Yes",'Monthly Data'!$B$5:$B$121,"&gt;=2017",'Monthly Data'!$B$5:$B$121,"&lt;=2019")</f>
        <v>13</v>
      </c>
      <c r="C15" s="29">
        <f>COUNTIFS('Monthly Data'!$H$5:$H$121,"Yes",'Monthly Data'!$B$5:$B$121,"&gt;=2017",'Monthly Data'!$B$5:$B$121,"&lt;=2019")</f>
        <v>11</v>
      </c>
      <c r="D15" s="37">
        <f>C15/B15</f>
        <v>0.846153846153846</v>
      </c>
      <c r="E15" s="29">
        <f>COUNTIFS('Monthly Data'!$B$5:$B$121,"&gt;=2017",'Monthly Data'!$B$5:$B$121,"&lt;=2019")</f>
        <v>36</v>
      </c>
      <c r="F15" s="37">
        <f>B15/E15</f>
        <v>0.361111111111111</v>
      </c>
    </row>
    <row r="16" spans="1:6">
      <c r="A16" s="29" t="s">
        <v>79</v>
      </c>
      <c r="B16" s="29">
        <f>COUNTIFS('Monthly Data'!$G$5:$G$121,"Yes",'Monthly Data'!$B$5:$B$121,"&gt;=2020",'Monthly Data'!$B$5:$B$121,"&lt;=2023")</f>
        <v>21</v>
      </c>
      <c r="C16" s="29">
        <f>COUNTIFS('Monthly Data'!$H$5:$H$121,"Yes",'Monthly Data'!$B$5:$B$121,"&gt;=2020",'Monthly Data'!$B$5:$B$121,"&lt;=2023")</f>
        <v>13</v>
      </c>
      <c r="D16" s="37">
        <f>C16/B16</f>
        <v>0.619047619047619</v>
      </c>
      <c r="E16" s="29">
        <f>COUNTIFS('Monthly Data'!$B$5:$B$121,"&gt;=2020",'Monthly Data'!$B$5:$B$121,"&lt;=2023")</f>
        <v>48</v>
      </c>
      <c r="F16" s="37">
        <f>B16/E16</f>
        <v>0.4375</v>
      </c>
    </row>
    <row r="17" spans="1:8">
      <c r="A17" s="29" t="s">
        <v>80</v>
      </c>
      <c r="B17" s="29">
        <f>COUNTIFS('Monthly Data'!$G$5:$G$121,"Yes",'Monthly Data'!$B$5:$B$121,"&gt;=2024",'Monthly Data'!$B$5:$B$121,"&lt;=2026")</f>
        <v>19</v>
      </c>
      <c r="C17" s="29">
        <f>COUNTIFS('Monthly Data'!$H$5:$H$121,"Yes",'Monthly Data'!$B$5:$B$121,"&gt;=2024",'Monthly Data'!$B$5:$B$121,"&lt;=2026")</f>
        <v>18</v>
      </c>
      <c r="D17" s="37">
        <f>C17/B17</f>
        <v>0.947368421052632</v>
      </c>
      <c r="E17" s="29">
        <f>COUNTIFS('Monthly Data'!$B$5:$B$121,"&gt;=2024",'Monthly Data'!$B$5:$B$121,"&lt;=2026")</f>
        <v>33</v>
      </c>
      <c r="F17" s="37">
        <f>B17/E17</f>
        <v>0.575757575757576</v>
      </c>
    </row>
    <row r="20" spans="1:8">
      <c r="A20" s="2" t="s">
        <v>81</v>
      </c>
    </row>
    <row r="21" ht="30" customHeight="1" spans="1:8">
      <c r="A21" s="6" t="s">
        <v>82</v>
      </c>
      <c r="B21" s="6" t="s">
        <v>83</v>
      </c>
      <c r="C21" s="6" t="s">
        <v>84</v>
      </c>
      <c r="D21" s="6" t="s">
        <v>85</v>
      </c>
      <c r="E21" s="6" t="s">
        <v>86</v>
      </c>
      <c r="F21" s="6" t="s">
        <v>87</v>
      </c>
      <c r="G21" s="6" t="s">
        <v>88</v>
      </c>
      <c r="H21" s="6" t="s">
        <v>89</v>
      </c>
    </row>
    <row r="22" spans="1:8">
      <c r="A22" s="27">
        <v>1</v>
      </c>
      <c r="B22" s="40">
        <f>INDEX('Monthly Data'!$A$5:$A$121,MATCH(C22,'Monthly Data'!$D$5:$D$121,0))</f>
        <v>46082</v>
      </c>
      <c r="C22" s="28">
        <f>SMALL('Monthly Data'!$D$5:$D$121,A22)</f>
        <v>-117775</v>
      </c>
      <c r="D22" s="28">
        <f>INDEX('Monthly Data'!$E$5:$E$121,MATCH(C22,'Monthly Data'!$D$5:$D$121,0))</f>
        <v>142960.4</v>
      </c>
      <c r="E22" s="37">
        <f t="shared" ref="E22:E31" si="0">D22/-C22</f>
        <v>1.21384334536192</v>
      </c>
      <c r="F22" s="27" t="str">
        <f t="shared" ref="F22:F31" si="1">IF(D22&gt;=-C22,"Yes","No")</f>
        <v>Yes</v>
      </c>
      <c r="G22" s="41">
        <f>INDEX('Monthly Data'!$K$5:$K$121,MATCH(C22,'Monthly Data'!$D$5:$D$121,0))</f>
        <v>-0.113081916623806</v>
      </c>
      <c r="H22" s="31">
        <f>INDEX('Monthly Data'!$L$5:$L$121,MATCH(C22,'Monthly Data'!$D$5:$D$121,0))</f>
        <v>32087</v>
      </c>
    </row>
    <row r="23" spans="1:8">
      <c r="A23" s="27">
        <v>2</v>
      </c>
      <c r="B23" s="40">
        <f>INDEX('Monthly Data'!$A$5:$A$121,MATCH(C23,'Monthly Data'!$D$5:$D$121,0))</f>
        <v>45566</v>
      </c>
      <c r="C23" s="28">
        <f>SMALL('Monthly Data'!$D$5:$D$121,A23)</f>
        <v>-94017</v>
      </c>
      <c r="D23" s="28">
        <f>INDEX('Monthly Data'!$E$5:$E$121,MATCH(C23,'Monthly Data'!$D$5:$D$121,0))</f>
        <v>107254.7</v>
      </c>
      <c r="E23" s="37">
        <f t="shared" si="0"/>
        <v>1.14080113171022</v>
      </c>
      <c r="F23" s="27" t="str">
        <f t="shared" si="1"/>
        <v>Yes</v>
      </c>
      <c r="G23" s="41">
        <f>INDEX('Monthly Data'!$K$5:$K$121,MATCH(C23,'Monthly Data'!$D$5:$D$121,0))</f>
        <v>-0.0622025233574253</v>
      </c>
      <c r="H23" s="31">
        <f>INDEX('Monthly Data'!$L$5:$L$121,MATCH(C23,'Monthly Data'!$D$5:$D$121,0))</f>
        <v>25323</v>
      </c>
    </row>
    <row r="24" spans="1:8">
      <c r="A24" s="27">
        <v>3</v>
      </c>
      <c r="B24" s="40">
        <f>INDEX('Monthly Data'!$A$5:$A$121,MATCH(C24,'Monthly Data'!$D$5:$D$121,0))</f>
        <v>45658</v>
      </c>
      <c r="C24" s="28">
        <f>SMALL('Monthly Data'!$D$5:$D$121,A24)</f>
        <v>-78027</v>
      </c>
      <c r="D24" s="28">
        <f>INDEX('Monthly Data'!$E$5:$E$121,MATCH(C24,'Monthly Data'!$D$5:$D$121,0))</f>
        <v>86591.8</v>
      </c>
      <c r="E24" s="37">
        <f t="shared" si="0"/>
        <v>1.10976713189024</v>
      </c>
      <c r="F24" s="27" t="str">
        <f t="shared" si="1"/>
        <v>Yes</v>
      </c>
      <c r="G24" s="41">
        <f>INDEX('Monthly Data'!$K$5:$K$121,MATCH(C24,'Monthly Data'!$D$5:$D$121,0))</f>
        <v>-0.00576871024495862</v>
      </c>
      <c r="H24" s="31">
        <f>INDEX('Monthly Data'!$L$5:$L$121,MATCH(C24,'Monthly Data'!$D$5:$D$121,0))</f>
        <v>26400</v>
      </c>
    </row>
    <row r="25" spans="1:8">
      <c r="A25" s="27">
        <v>4</v>
      </c>
      <c r="B25" s="40">
        <f>INDEX('Monthly Data'!$A$5:$A$121,MATCH(C25,'Monthly Data'!$D$5:$D$121,0))</f>
        <v>43891</v>
      </c>
      <c r="C25" s="28">
        <f>SMALL('Monthly Data'!$D$5:$D$121,A25)</f>
        <v>-61973</v>
      </c>
      <c r="D25" s="28">
        <f>INDEX('Monthly Data'!$E$5:$E$121,MATCH(C25,'Monthly Data'!$D$5:$D$121,0))</f>
        <v>55595.2</v>
      </c>
      <c r="E25" s="37">
        <f t="shared" si="0"/>
        <v>0.897087441305084</v>
      </c>
      <c r="F25" s="27" t="str">
        <f t="shared" si="1"/>
        <v>No</v>
      </c>
      <c r="G25" s="41">
        <f>INDEX('Monthly Data'!$K$5:$K$121,MATCH(C25,'Monthly Data'!$D$5:$D$121,0))</f>
        <v>-0.232463677550383</v>
      </c>
      <c r="H25" s="31">
        <f>INDEX('Monthly Data'!$L$5:$L$121,MATCH(C25,'Monthly Data'!$D$5:$D$121,0))</f>
        <v>8641</v>
      </c>
    </row>
    <row r="26" spans="1:8">
      <c r="A26" s="27">
        <v>5</v>
      </c>
      <c r="B26" s="40">
        <f>INDEX('Monthly Data'!$A$5:$A$121,MATCH(C26,'Monthly Data'!$D$5:$D$121,0))</f>
        <v>46113</v>
      </c>
      <c r="C26" s="28">
        <f>SMALL('Monthly Data'!$D$5:$D$121,A26)</f>
        <v>-60847</v>
      </c>
      <c r="D26" s="28">
        <f>INDEX('Monthly Data'!$E$5:$E$121,MATCH(C26,'Monthly Data'!$D$5:$D$121,0))</f>
        <v>51063.9</v>
      </c>
      <c r="E26" s="37">
        <f t="shared" si="0"/>
        <v>0.839218038687199</v>
      </c>
      <c r="F26" s="27" t="str">
        <f t="shared" si="1"/>
        <v>No</v>
      </c>
      <c r="G26" s="41">
        <f>INDEX('Monthly Data'!$K$5:$K$121,MATCH(C26,'Monthly Data'!$D$5:$D$121,0))</f>
        <v>0.0746101901358625</v>
      </c>
      <c r="H26" s="31">
        <f>INDEX('Monthly Data'!$L$5:$L$121,MATCH(C26,'Monthly Data'!$D$5:$D$121,0))</f>
        <v>31115</v>
      </c>
    </row>
    <row r="27" spans="1:8">
      <c r="A27" s="27">
        <v>6</v>
      </c>
      <c r="B27" s="40">
        <f>INDEX('Monthly Data'!$A$5:$A$121,MATCH(C27,'Monthly Data'!$D$5:$D$121,0))</f>
        <v>44713</v>
      </c>
      <c r="C27" s="28">
        <f>SMALL('Monthly Data'!$D$5:$D$121,A27)</f>
        <v>-50203</v>
      </c>
      <c r="D27" s="28">
        <f>INDEX('Monthly Data'!$E$5:$E$121,MATCH(C27,'Monthly Data'!$D$5:$D$121,0))</f>
        <v>46599.2</v>
      </c>
      <c r="E27" s="37">
        <f t="shared" si="0"/>
        <v>0.928215445292114</v>
      </c>
      <c r="F27" s="27" t="str">
        <f t="shared" si="1"/>
        <v>No</v>
      </c>
      <c r="G27" s="41">
        <f>INDEX('Monthly Data'!$K$5:$K$121,MATCH(C27,'Monthly Data'!$D$5:$D$121,0))</f>
        <v>-0.0484969444452819</v>
      </c>
      <c r="H27" s="31">
        <f>INDEX('Monthly Data'!$L$5:$L$121,MATCH(C27,'Monthly Data'!$D$5:$D$121,0))</f>
        <v>12276</v>
      </c>
    </row>
    <row r="28" spans="1:8">
      <c r="A28" s="27">
        <v>7</v>
      </c>
      <c r="B28" s="40">
        <f>INDEX('Monthly Data'!$A$5:$A$121,MATCH(C28,'Monthly Data'!$D$5:$D$121,0))</f>
        <v>46174</v>
      </c>
      <c r="C28" s="28">
        <f>SMALL('Monthly Data'!$D$5:$D$121,A28)</f>
        <v>-49340</v>
      </c>
      <c r="D28" s="28">
        <f>INDEX('Monthly Data'!$E$5:$E$121,MATCH(C28,'Monthly Data'!$D$5:$D$121,0))</f>
        <v>85800.1</v>
      </c>
      <c r="E28" s="37">
        <f t="shared" si="0"/>
        <v>1.73895622213214</v>
      </c>
      <c r="F28" s="27" t="str">
        <f t="shared" si="1"/>
        <v>Yes</v>
      </c>
      <c r="G28" s="41">
        <f>INDEX('Monthly Data'!$K$5:$K$121,MATCH(C28,'Monthly Data'!$D$5:$D$121,0))</f>
        <v>0.0135044749498359</v>
      </c>
      <c r="H28" s="31">
        <f>INDEX('Monthly Data'!$L$5:$L$121,MATCH(C28,'Monthly Data'!$D$5:$D$121,0))</f>
        <v>31781</v>
      </c>
    </row>
    <row r="29" spans="1:8">
      <c r="A29" s="27">
        <v>8</v>
      </c>
      <c r="B29" s="40">
        <f>INDEX('Monthly Data'!$A$5:$A$121,MATCH(C29,'Monthly Data'!$D$5:$D$121,0))</f>
        <v>44621</v>
      </c>
      <c r="C29" s="28">
        <f>SMALL('Monthly Data'!$D$5:$D$121,A29)</f>
        <v>-41123</v>
      </c>
      <c r="D29" s="28">
        <f>INDEX('Monthly Data'!$E$5:$E$121,MATCH(C29,'Monthly Data'!$D$5:$D$121,0))</f>
        <v>39677</v>
      </c>
      <c r="E29" s="37">
        <f t="shared" si="0"/>
        <v>0.964837195729883</v>
      </c>
      <c r="F29" s="27" t="str">
        <f t="shared" si="1"/>
        <v>No</v>
      </c>
      <c r="G29" s="41">
        <f>INDEX('Monthly Data'!$K$5:$K$121,MATCH(C29,'Monthly Data'!$D$5:$D$121,0))</f>
        <v>0.0399460518402515</v>
      </c>
      <c r="H29" s="31">
        <f>INDEX('Monthly Data'!$L$5:$L$121,MATCH(C29,'Monthly Data'!$D$5:$D$121,0))</f>
        <v>12328</v>
      </c>
    </row>
    <row r="30" spans="1:8">
      <c r="A30" s="27">
        <v>9</v>
      </c>
      <c r="B30" s="40">
        <f>INDEX('Monthly Data'!$A$5:$A$121,MATCH(C30,'Monthly Data'!$D$5:$D$121,0))</f>
        <v>44682</v>
      </c>
      <c r="C30" s="28">
        <f>SMALL('Monthly Data'!$D$5:$D$121,A30)</f>
        <v>-39993</v>
      </c>
      <c r="D30" s="28">
        <f>INDEX('Monthly Data'!$E$5:$E$121,MATCH(C30,'Monthly Data'!$D$5:$D$121,0))</f>
        <v>50835.5</v>
      </c>
      <c r="E30" s="37">
        <f t="shared" si="0"/>
        <v>1.27110994424024</v>
      </c>
      <c r="F30" s="27" t="str">
        <f t="shared" si="1"/>
        <v>Yes</v>
      </c>
      <c r="G30" s="41">
        <f>INDEX('Monthly Data'!$K$5:$K$121,MATCH(C30,'Monthly Data'!$D$5:$D$121,0))</f>
        <v>-0.0302878810469783</v>
      </c>
      <c r="H30" s="31">
        <f>INDEX('Monthly Data'!$L$5:$L$121,MATCH(C30,'Monthly Data'!$D$5:$D$121,0))</f>
        <v>12286</v>
      </c>
    </row>
    <row r="31" spans="1:8">
      <c r="A31" s="27">
        <v>10</v>
      </c>
      <c r="B31" s="40">
        <f>INDEX('Monthly Data'!$A$5:$A$121,MATCH(C31,'Monthly Data'!$D$5:$D$121,0))</f>
        <v>46023</v>
      </c>
      <c r="C31" s="28">
        <f>SMALL('Monthly Data'!$D$5:$D$121,A31)</f>
        <v>-35962</v>
      </c>
      <c r="D31" s="28">
        <f>INDEX('Monthly Data'!$E$5:$E$121,MATCH(C31,'Monthly Data'!$D$5:$D$121,0))</f>
        <v>69220.7</v>
      </c>
      <c r="E31" s="37">
        <f t="shared" si="0"/>
        <v>1.92482898615205</v>
      </c>
      <c r="F31" s="27" t="str">
        <f t="shared" si="1"/>
        <v>Yes</v>
      </c>
      <c r="G31" s="41">
        <f>INDEX('Monthly Data'!$K$5:$K$121,MATCH(C31,'Monthly Data'!$D$5:$D$121,0))</f>
        <v>-0.0309591421223439</v>
      </c>
      <c r="H31" s="31">
        <f>INDEX('Monthly Data'!$L$5:$L$121,MATCH(C31,'Monthly Data'!$D$5:$D$121,0))</f>
        <v>31002</v>
      </c>
    </row>
    <row r="34" ht="30" customHeight="1" spans="1:7">
      <c r="A34" s="6" t="s">
        <v>90</v>
      </c>
      <c r="B34" s="6" t="s">
        <v>91</v>
      </c>
      <c r="C34" s="6" t="s">
        <v>74</v>
      </c>
      <c r="D34" s="6" t="s">
        <v>75</v>
      </c>
      <c r="E34" s="6" t="s">
        <v>92</v>
      </c>
      <c r="F34" s="6" t="s">
        <v>93</v>
      </c>
      <c r="G34" s="6" t="s">
        <v>61</v>
      </c>
    </row>
    <row r="35" spans="1:7">
      <c r="A35" s="29" t="s">
        <v>94</v>
      </c>
      <c r="B35" s="42">
        <v>10</v>
      </c>
      <c r="C35" s="42">
        <f>COUNTIF(F22:F31,"Yes")</f>
        <v>6</v>
      </c>
      <c r="D35" s="37">
        <f>C35/B35</f>
        <v>0.6</v>
      </c>
      <c r="E35" s="28">
        <f>AVERAGE(C22:C31)</f>
        <v>-62926</v>
      </c>
      <c r="F35" s="28">
        <f>AVERAGE(D22:D31)</f>
        <v>73559.85</v>
      </c>
      <c r="G35" s="30">
        <f>AVERAGE(G22:G31)</f>
        <v>-0.0395200078465227</v>
      </c>
    </row>
    <row r="36" spans="1:7">
      <c r="A36" s="29" t="s">
        <v>95</v>
      </c>
      <c r="B36" s="42">
        <f>B6-B35</f>
        <v>43</v>
      </c>
      <c r="C36" s="42">
        <f>B7-C35</f>
        <v>36</v>
      </c>
      <c r="D36" s="37">
        <f>C36/B36</f>
        <v>0.837209302325581</v>
      </c>
      <c r="E36" s="28">
        <f>(SUMIFS('Monthly Data'!$D$5:$D$121,'Monthly Data'!$G$5:$G$121,"Yes")-SUM(C22:C31))/B36</f>
        <v>-15658.7906976744</v>
      </c>
      <c r="F36" s="28">
        <f>(SUMIFS('Monthly Data'!$E$5:$E$121,'Monthly Data'!$G$5:$G$121,"Yes")-SUM(D22:D31))/B36</f>
        <v>30591.6930232558</v>
      </c>
      <c r="G36" s="30">
        <f>(SUMIFS('Monthly Data'!$K$5:$K$121,'Monthly Data'!$G$5:$G$121,"Yes")-SUM(G22:G31))/(COUNTIFS('Monthly Data'!$G$5:$G$121,"Yes",'Monthly Data'!$K$5:$K$121,"&gt;-1")-10)</f>
        <v>-0.00393786964897853</v>
      </c>
    </row>
    <row r="38" spans="1:7">
      <c r="A38" s="36" t="s">
        <v>96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  <pageSetUpPr fitToPage="1"/>
  </sheetPr>
  <dimension ref="A1:E34"/>
  <sheetViews>
    <sheetView showGridLines="0" workbookViewId="0">
      <selection activeCell="A1" sqref="A1"/>
    </sheetView>
  </sheetViews>
  <sheetFormatPr defaultColWidth="8.67592592592593" defaultRowHeight="14.4" outlineLevelCol="4"/>
  <cols>
    <col min="1" max="1" width="44" customWidth="1"/>
    <col min="2" max="2" width="24" customWidth="1"/>
    <col min="3" max="5" width="14" customWidth="1"/>
  </cols>
  <sheetData>
    <row r="1" ht="24" customHeight="1" spans="1:5">
      <c r="A1" s="1" t="s">
        <v>97</v>
      </c>
    </row>
    <row r="2" spans="1:5">
      <c r="A2" s="5" t="s">
        <v>98</v>
      </c>
    </row>
    <row r="4" spans="1:5">
      <c r="A4" s="2" t="s">
        <v>99</v>
      </c>
    </row>
    <row r="5" ht="25.5" customHeight="1" spans="1:5">
      <c r="A5" s="6" t="s">
        <v>100</v>
      </c>
      <c r="B5" s="6" t="s">
        <v>101</v>
      </c>
      <c r="C5" s="6" t="s">
        <v>102</v>
      </c>
      <c r="D5" s="6" t="s">
        <v>103</v>
      </c>
    </row>
    <row r="6" spans="1:5">
      <c r="A6" s="13" t="s">
        <v>104</v>
      </c>
      <c r="B6" s="13">
        <f>SUMPRODUCT(--ISNUMBER('Monthly Data'!$D$5:$D$121),--ISNUMBER('Monthly Data'!$K$5:$K$121))</f>
        <v>116</v>
      </c>
      <c r="C6" s="34">
        <f>CORREL('Monthly Data'!$D$5:$D$121,'Monthly Data'!$K$5:$K$121)</f>
        <v>0.530731007629639</v>
      </c>
      <c r="D6" s="15">
        <v>0.5011</v>
      </c>
      <c r="E6" s="13"/>
    </row>
    <row r="7" spans="1:5">
      <c r="A7" s="13" t="s">
        <v>105</v>
      </c>
      <c r="B7" s="13">
        <f>SUMPRODUCT(--ISNUMBER('Monthly Data'!$E$5:$E$121),--ISNUMBER('Monthly Data'!$K$5:$K$121))</f>
        <v>116</v>
      </c>
      <c r="C7" s="34">
        <f>CORREL('Monthly Data'!$E$5:$E$121,'Monthly Data'!$K$5:$K$121)</f>
        <v>-0.467240516680694</v>
      </c>
      <c r="D7" s="15">
        <v>-0.4486</v>
      </c>
      <c r="E7" s="13"/>
    </row>
    <row r="8" spans="1:5">
      <c r="A8" s="13" t="s">
        <v>106</v>
      </c>
      <c r="B8" s="13">
        <f>SUMPRODUCT(--ISNUMBER('Monthly Data'!$F$5:$F$121),--ISNUMBER('Monthly Data'!$K$5:$K$121))</f>
        <v>116</v>
      </c>
      <c r="C8" s="34">
        <f>CORREL('Monthly Data'!$F$5:$F$121,'Monthly Data'!$K$5:$K$121)</f>
        <v>0.0735241905436479</v>
      </c>
      <c r="D8" s="15">
        <v>0.064</v>
      </c>
      <c r="E8" s="13"/>
    </row>
    <row r="10" spans="1:5">
      <c r="A10" s="2" t="s">
        <v>107</v>
      </c>
    </row>
    <row r="11" ht="25.5" customHeight="1" spans="1:5">
      <c r="A11" s="6" t="s">
        <v>108</v>
      </c>
      <c r="B11" s="6" t="s">
        <v>109</v>
      </c>
      <c r="C11" s="6" t="s">
        <v>101</v>
      </c>
      <c r="D11" s="6" t="s">
        <v>102</v>
      </c>
      <c r="E11" s="6" t="s">
        <v>103</v>
      </c>
    </row>
    <row r="12" spans="1:5">
      <c r="A12" s="13" t="s">
        <v>110</v>
      </c>
      <c r="B12" s="13" t="s">
        <v>88</v>
      </c>
      <c r="C12" s="13">
        <f>SUMPRODUCT(--ISNUMBER('Monthly Data'!$O$5:$O$121),--ISNUMBER('Monthly Data'!$K$5:$K$121))</f>
        <v>107</v>
      </c>
      <c r="D12" s="34">
        <f>CORREL('Monthly Data'!$O$5:$O$121,'Monthly Data'!$K$5:$K$121)</f>
        <v>-0.516399244366204</v>
      </c>
      <c r="E12" s="15">
        <v>-0.487</v>
      </c>
    </row>
    <row r="13" spans="1:5">
      <c r="A13" s="13" t="s">
        <v>110</v>
      </c>
      <c r="B13" s="13" t="s">
        <v>104</v>
      </c>
      <c r="C13" s="13">
        <f>SUMPRODUCT(--ISNUMBER('Monthly Data'!$O$5:$O$121),--ISNUMBER('Monthly Data'!$D$5:$D$121))</f>
        <v>107</v>
      </c>
      <c r="D13" s="34">
        <f>CORREL('Monthly Data'!$O$5:$O$121,'Monthly Data'!$D$5:$D$121)</f>
        <v>-0.358361878941665</v>
      </c>
      <c r="E13" s="15">
        <v>-0.346</v>
      </c>
    </row>
    <row r="14" spans="1:5">
      <c r="A14" s="13" t="s">
        <v>110</v>
      </c>
      <c r="B14" s="13" t="s">
        <v>105</v>
      </c>
      <c r="C14" s="13">
        <f>SUMPRODUCT(--ISNUMBER('Monthly Data'!$O$5:$O$121),--ISNUMBER('Monthly Data'!$E$5:$E$121))</f>
        <v>107</v>
      </c>
      <c r="D14" s="34">
        <f>CORREL('Monthly Data'!$O$5:$O$121,'Monthly Data'!$E$5:$E$121)</f>
        <v>0.278301776125441</v>
      </c>
      <c r="E14" s="15">
        <v>0.269</v>
      </c>
    </row>
    <row r="15" spans="1:5">
      <c r="A15" s="13" t="s">
        <v>111</v>
      </c>
      <c r="B15" s="13" t="s">
        <v>88</v>
      </c>
      <c r="C15" s="13">
        <f>SUMPRODUCT(--ISNUMBER('Monthly Data'!$Q$5:$Q$121),--ISNUMBER('Monthly Data'!$K$5:$K$121))</f>
        <v>108</v>
      </c>
      <c r="D15" s="34">
        <f>CORREL('Monthly Data'!$Q$5:$Q$121,'Monthly Data'!$K$5:$K$121)</f>
        <v>-0.0618993738695974</v>
      </c>
      <c r="E15" s="15">
        <v>-0.04</v>
      </c>
    </row>
    <row r="16" spans="1:5">
      <c r="A16" s="13" t="s">
        <v>111</v>
      </c>
      <c r="B16" s="13" t="s">
        <v>104</v>
      </c>
      <c r="C16" s="13">
        <f>SUMPRODUCT(--ISNUMBER('Monthly Data'!$Q$5:$Q$121),--ISNUMBER('Monthly Data'!$D$5:$D$121))</f>
        <v>108</v>
      </c>
      <c r="D16" s="34">
        <f>CORREL('Monthly Data'!$Q$5:$Q$121,'Monthly Data'!$D$5:$D$121)</f>
        <v>0.0421270746270535</v>
      </c>
      <c r="E16" s="15">
        <v>0.062</v>
      </c>
    </row>
    <row r="17" spans="1:5">
      <c r="A17" s="13" t="s">
        <v>111</v>
      </c>
      <c r="B17" s="13" t="s">
        <v>105</v>
      </c>
      <c r="C17" s="13">
        <f>SUMPRODUCT(--ISNUMBER('Monthly Data'!$Q$5:$Q$121),--ISNUMBER('Monthly Data'!$E$5:$E$121))</f>
        <v>108</v>
      </c>
      <c r="D17" s="34">
        <f>CORREL('Monthly Data'!$Q$5:$Q$121,'Monthly Data'!$E$5:$E$121)</f>
        <v>0.172103462751736</v>
      </c>
      <c r="E17" s="15">
        <v>0.168</v>
      </c>
    </row>
    <row r="18" spans="1:5">
      <c r="A18" s="13" t="s">
        <v>112</v>
      </c>
      <c r="B18" s="13" t="s">
        <v>88</v>
      </c>
      <c r="C18" s="13">
        <f>SUMPRODUCT(--ISNUMBER('Monthly Data'!$P$5:$P$121),--ISNUMBER('Monthly Data'!$K$5:$K$121))</f>
        <v>116</v>
      </c>
      <c r="D18" s="34">
        <f>CORREL('Monthly Data'!$P$5:$P$121,'Monthly Data'!$K$5:$K$121)</f>
        <v>0.0253435187511933</v>
      </c>
      <c r="E18" s="15">
        <v>0.013</v>
      </c>
    </row>
    <row r="19" spans="1:5">
      <c r="A19" s="13" t="s">
        <v>112</v>
      </c>
      <c r="B19" s="13" t="s">
        <v>104</v>
      </c>
      <c r="C19" s="13">
        <f>SUMPRODUCT(--ISNUMBER('Monthly Data'!$P$5:$P$121),--ISNUMBER('Monthly Data'!$D$5:$D$121))</f>
        <v>117</v>
      </c>
      <c r="D19" s="34">
        <f>CORREL('Monthly Data'!$P$5:$P$121,'Monthly Data'!$D$5:$D$121)</f>
        <v>0.0744095292846735</v>
      </c>
      <c r="E19" s="15">
        <v>0.057</v>
      </c>
    </row>
    <row r="20" spans="1:5">
      <c r="A20" s="13" t="s">
        <v>112</v>
      </c>
      <c r="B20" s="13" t="s">
        <v>105</v>
      </c>
      <c r="C20" s="13">
        <f>SUMPRODUCT(--ISNUMBER('Monthly Data'!$P$5:$P$121),--ISNUMBER('Monthly Data'!$E$5:$E$121))</f>
        <v>117</v>
      </c>
      <c r="D20" s="34">
        <f>CORREL('Monthly Data'!$P$5:$P$121,'Monthly Data'!$E$5:$E$121)</f>
        <v>-0.264502845922934</v>
      </c>
      <c r="E20" s="15">
        <v>-0.183</v>
      </c>
    </row>
    <row r="22" spans="1:5">
      <c r="A22" s="2" t="s">
        <v>113</v>
      </c>
    </row>
    <row r="23" ht="25.5" customHeight="1" spans="1:5">
      <c r="A23" s="6" t="s">
        <v>114</v>
      </c>
      <c r="B23" s="6" t="s">
        <v>101</v>
      </c>
      <c r="C23" s="6" t="s">
        <v>102</v>
      </c>
      <c r="D23" s="6" t="s">
        <v>103</v>
      </c>
    </row>
    <row r="24" spans="1:5">
      <c r="A24" s="29" t="s">
        <v>115</v>
      </c>
      <c r="B24" s="35">
        <v>107</v>
      </c>
      <c r="C24" s="15">
        <v>-0.516</v>
      </c>
      <c r="D24" s="15">
        <v>-0.487</v>
      </c>
      <c r="E24" s="13"/>
    </row>
    <row r="25" spans="1:5">
      <c r="A25" s="29" t="s">
        <v>116</v>
      </c>
      <c r="B25" s="35">
        <v>97</v>
      </c>
      <c r="C25" s="15">
        <v>-0.37</v>
      </c>
      <c r="D25" s="15">
        <v>-0.4</v>
      </c>
      <c r="E25" s="13"/>
    </row>
    <row r="26" spans="1:5">
      <c r="A26" s="29" t="s">
        <v>78</v>
      </c>
      <c r="B26" s="35">
        <v>26</v>
      </c>
      <c r="C26" s="15">
        <v>-0.388</v>
      </c>
      <c r="D26" s="15">
        <v>-0.318</v>
      </c>
      <c r="E26" s="13"/>
    </row>
    <row r="27" spans="1:5">
      <c r="A27" s="29" t="s">
        <v>79</v>
      </c>
      <c r="B27" s="35">
        <v>48</v>
      </c>
      <c r="C27" s="15">
        <v>-0.657</v>
      </c>
      <c r="D27" s="15">
        <v>-0.588</v>
      </c>
      <c r="E27" s="13"/>
    </row>
    <row r="28" spans="1:5">
      <c r="A28" s="29" t="s">
        <v>80</v>
      </c>
      <c r="B28" s="35">
        <v>33</v>
      </c>
      <c r="C28" s="15">
        <v>-0.611</v>
      </c>
      <c r="D28" s="15">
        <v>-0.431</v>
      </c>
      <c r="E28" s="13"/>
    </row>
    <row r="30" spans="1:5">
      <c r="A30" s="2" t="s">
        <v>117</v>
      </c>
    </row>
    <row r="31" spans="1:5">
      <c r="A31" s="13" t="s">
        <v>118</v>
      </c>
      <c r="B31" s="13"/>
      <c r="C31" s="15">
        <v>0.255</v>
      </c>
      <c r="D31" s="13"/>
      <c r="E31" s="13"/>
    </row>
    <row r="32" spans="1:5">
      <c r="A32" s="13" t="s">
        <v>119</v>
      </c>
      <c r="B32" s="13"/>
      <c r="C32" s="15">
        <v>-0.041</v>
      </c>
      <c r="D32" s="13"/>
      <c r="E32" s="13"/>
    </row>
    <row r="34" spans="1:1">
      <c r="A34" s="36" t="s">
        <v>120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  <pageSetUpPr fitToPage="1"/>
  </sheetPr>
  <dimension ref="A1:I15"/>
  <sheetViews>
    <sheetView showGridLines="0" workbookViewId="0">
      <pane ySplit="4" topLeftCell="A5" activePane="bottomLeft" state="frozen"/>
      <selection/>
      <selection pane="bottomLeft" activeCell="I15" sqref="I15"/>
    </sheetView>
  </sheetViews>
  <sheetFormatPr defaultColWidth="8.67592592592593" defaultRowHeight="14.4"/>
  <cols>
    <col min="1" max="2" width="9" customWidth="1"/>
    <col min="3" max="4" width="17" customWidth="1"/>
    <col min="5" max="5" width="14" customWidth="1"/>
    <col min="6" max="6" width="12" customWidth="1"/>
    <col min="7" max="9" width="16" customWidth="1"/>
  </cols>
  <sheetData>
    <row r="1" ht="24" customHeight="1" spans="1:9">
      <c r="A1" s="1" t="s">
        <v>121</v>
      </c>
    </row>
    <row r="2" spans="1:9">
      <c r="A2" s="5" t="s">
        <v>122</v>
      </c>
    </row>
    <row r="4" ht="39.75" customHeight="1" spans="1:9">
      <c r="A4" s="6" t="s">
        <v>123</v>
      </c>
      <c r="B4" s="6" t="s">
        <v>60</v>
      </c>
      <c r="C4" s="6" t="s">
        <v>124</v>
      </c>
      <c r="D4" s="6" t="s">
        <v>125</v>
      </c>
      <c r="E4" s="6" t="s">
        <v>73</v>
      </c>
      <c r="F4" s="6" t="s">
        <v>74</v>
      </c>
      <c r="G4" s="6" t="s">
        <v>126</v>
      </c>
      <c r="H4" s="6" t="s">
        <v>127</v>
      </c>
      <c r="I4" s="6" t="s">
        <v>128</v>
      </c>
    </row>
    <row r="5" spans="1:9">
      <c r="A5" s="27">
        <v>2017</v>
      </c>
      <c r="B5" s="27">
        <f>COUNTIF('Monthly Data'!$B$5:$B$121,A5)</f>
        <v>12</v>
      </c>
      <c r="C5" s="28">
        <f>SUMIFS('Monthly Data'!$D$5:$D$121,'Monthly Data'!$B$5:$B$121,A5)</f>
        <v>51252</v>
      </c>
      <c r="D5" s="28">
        <f>SUMIFS('Monthly Data'!$E$5:$E$121,'Monthly Data'!$B$5:$B$121,A5)</f>
        <v>90738.3</v>
      </c>
      <c r="E5" s="29">
        <f>COUNTIFS('Monthly Data'!$B$5:$B$121,A5,'Monthly Data'!$G$5:$G$121,"Yes")</f>
        <v>4</v>
      </c>
      <c r="F5" s="29">
        <f>COUNTIFS('Monthly Data'!$B$5:$B$121,A5,'Monthly Data'!$H$5:$H$121,"Yes")</f>
        <v>4</v>
      </c>
      <c r="G5" s="30">
        <f>AVERAGEIFS('Monthly Data'!$K$5:$K$121,'Monthly Data'!$B$5:$B$121,A5)</f>
        <v>0.019347723634886</v>
      </c>
      <c r="H5" s="31">
        <f>SUMIFS('Monthly Data'!$L$5:$L$121,'Monthly Data'!$B$5:$B$121,A5)</f>
        <v>59482</v>
      </c>
      <c r="I5" s="31">
        <f t="shared" ref="I5:I14" si="0">H5/B5</f>
        <v>4956.83333333333</v>
      </c>
    </row>
    <row r="6" spans="1:9">
      <c r="A6" s="27">
        <v>2018</v>
      </c>
      <c r="B6" s="27">
        <f>COUNTIF('Monthly Data'!$B$5:$B$121,A6)</f>
        <v>12</v>
      </c>
      <c r="C6" s="28">
        <f>SUMIFS('Monthly Data'!$D$5:$D$121,'Monthly Data'!$B$5:$B$121,A6)</f>
        <v>-33014</v>
      </c>
      <c r="D6" s="28">
        <f>SUMIFS('Monthly Data'!$E$5:$E$121,'Monthly Data'!$B$5:$B$121,A6)</f>
        <v>109661.8</v>
      </c>
      <c r="E6" s="29">
        <f>COUNTIFS('Monthly Data'!$B$5:$B$121,A6,'Monthly Data'!$G$5:$G$121,"Yes")</f>
        <v>6</v>
      </c>
      <c r="F6" s="29">
        <f>COUNTIFS('Monthly Data'!$B$5:$B$121,A6,'Monthly Data'!$H$5:$H$121,"Yes")</f>
        <v>5</v>
      </c>
      <c r="G6" s="30">
        <f>AVERAGEIFS('Monthly Data'!$K$5:$K$121,'Monthly Data'!$B$5:$B$121,A6)</f>
        <v>0.00353944336479359</v>
      </c>
      <c r="H6" s="31">
        <f>SUMIFS('Monthly Data'!$L$5:$L$121,'Monthly Data'!$B$5:$B$121,A6)</f>
        <v>88667</v>
      </c>
      <c r="I6" s="31">
        <f t="shared" si="0"/>
        <v>7388.91666666667</v>
      </c>
    </row>
    <row r="7" spans="1:9">
      <c r="A7" s="27">
        <v>2019</v>
      </c>
      <c r="B7" s="27">
        <f>COUNTIF('Monthly Data'!$B$5:$B$121,A7)</f>
        <v>12</v>
      </c>
      <c r="C7" s="28">
        <f>SUMIFS('Monthly Data'!$D$5:$D$121,'Monthly Data'!$B$5:$B$121,A7)</f>
        <v>101122</v>
      </c>
      <c r="D7" s="28">
        <f>SUMIFS('Monthly Data'!$E$5:$E$121,'Monthly Data'!$B$5:$B$121,A7)</f>
        <v>42257.2</v>
      </c>
      <c r="E7" s="29">
        <f>COUNTIFS('Monthly Data'!$B$5:$B$121,A7,'Monthly Data'!$G$5:$G$121,"Yes")</f>
        <v>3</v>
      </c>
      <c r="F7" s="29">
        <f>COUNTIFS('Monthly Data'!$B$5:$B$121,A7,'Monthly Data'!$H$5:$H$121,"Yes")</f>
        <v>2</v>
      </c>
      <c r="G7" s="30">
        <f>AVERAGEIFS('Monthly Data'!$K$5:$K$121,'Monthly Data'!$B$5:$B$121,A7)</f>
        <v>0.00999016478273096</v>
      </c>
      <c r="H7" s="31">
        <f>SUMIFS('Monthly Data'!$L$5:$L$121,'Monthly Data'!$B$5:$B$121,A7)</f>
        <v>98612</v>
      </c>
      <c r="I7" s="31">
        <f t="shared" si="0"/>
        <v>8217.66666666667</v>
      </c>
    </row>
    <row r="8" spans="1:9">
      <c r="A8" s="27">
        <v>2020</v>
      </c>
      <c r="B8" s="27">
        <f>COUNTIF('Monthly Data'!$B$5:$B$121,A8)</f>
        <v>12</v>
      </c>
      <c r="C8" s="28">
        <f>SUMIFS('Monthly Data'!$D$5:$D$121,'Monthly Data'!$B$5:$B$121,A8)</f>
        <v>170262</v>
      </c>
      <c r="D8" s="28">
        <f>SUMIFS('Monthly Data'!$E$5:$E$121,'Monthly Data'!$B$5:$B$121,A8)</f>
        <v>-35663.2</v>
      </c>
      <c r="E8" s="29">
        <f>COUNTIFS('Monthly Data'!$B$5:$B$121,A8,'Monthly Data'!$G$5:$G$121,"Yes")</f>
        <v>3</v>
      </c>
      <c r="F8" s="29">
        <f>COUNTIFS('Monthly Data'!$B$5:$B$121,A8,'Monthly Data'!$H$5:$H$121,"Yes")</f>
        <v>0</v>
      </c>
      <c r="G8" s="30">
        <f>AVERAGEIFS('Monthly Data'!$K$5:$K$121,'Monthly Data'!$B$5:$B$121,A8)</f>
        <v>0.0165737485549215</v>
      </c>
      <c r="H8" s="31">
        <f>SUMIFS('Monthly Data'!$L$5:$L$121,'Monthly Data'!$B$5:$B$121,A8)</f>
        <v>97033</v>
      </c>
      <c r="I8" s="31">
        <f t="shared" si="0"/>
        <v>8086.08333333333</v>
      </c>
    </row>
    <row r="9" spans="1:9">
      <c r="A9" s="27">
        <v>2021</v>
      </c>
      <c r="B9" s="27">
        <f>COUNTIF('Monthly Data'!$B$5:$B$121,A9)</f>
        <v>12</v>
      </c>
      <c r="C9" s="28">
        <f>SUMIFS('Monthly Data'!$D$5:$D$121,'Monthly Data'!$B$5:$B$121,A9)</f>
        <v>25752</v>
      </c>
      <c r="D9" s="28">
        <f>SUMIFS('Monthly Data'!$E$5:$E$121,'Monthly Data'!$B$5:$B$121,A9)</f>
        <v>95074.8</v>
      </c>
      <c r="E9" s="29">
        <f>COUNTIFS('Monthly Data'!$B$5:$B$121,A9,'Monthly Data'!$G$5:$G$121,"Yes")</f>
        <v>6</v>
      </c>
      <c r="F9" s="29">
        <f>COUNTIFS('Monthly Data'!$B$5:$B$121,A9,'Monthly Data'!$H$5:$H$121,"Yes")</f>
        <v>4</v>
      </c>
      <c r="G9" s="30">
        <f>AVERAGEIFS('Monthly Data'!$K$5:$K$121,'Monthly Data'!$B$5:$B$121,A9)</f>
        <v>0.018797508958474</v>
      </c>
      <c r="H9" s="31">
        <f>SUMIFS('Monthly Data'!$L$5:$L$121,'Monthly Data'!$B$5:$B$121,A9)</f>
        <v>114016</v>
      </c>
      <c r="I9" s="31">
        <f t="shared" si="0"/>
        <v>9501.33333333333</v>
      </c>
    </row>
    <row r="10" spans="1:9">
      <c r="A10" s="27">
        <v>2022</v>
      </c>
      <c r="B10" s="27">
        <f>COUNTIF('Monthly Data'!$B$5:$B$121,A10)</f>
        <v>12</v>
      </c>
      <c r="C10" s="28">
        <f>SUMIFS('Monthly Data'!$D$5:$D$121,'Monthly Data'!$B$5:$B$121,A10)</f>
        <v>-121439</v>
      </c>
      <c r="D10" s="28">
        <f>SUMIFS('Monthly Data'!$E$5:$E$121,'Monthly Data'!$B$5:$B$121,A10)</f>
        <v>276698.7</v>
      </c>
      <c r="E10" s="29">
        <f>COUNTIFS('Monthly Data'!$B$5:$B$121,A10,'Monthly Data'!$G$5:$G$121,"Yes")</f>
        <v>8</v>
      </c>
      <c r="F10" s="29">
        <f>COUNTIFS('Monthly Data'!$B$5:$B$121,A10,'Monthly Data'!$H$5:$H$121,"Yes")</f>
        <v>5</v>
      </c>
      <c r="G10" s="30">
        <f>AVERAGEIFS('Monthly Data'!$K$5:$K$121,'Monthly Data'!$B$5:$B$121,A10)</f>
        <v>0.00444455138025269</v>
      </c>
      <c r="H10" s="31">
        <f>SUMIFS('Monthly Data'!$L$5:$L$121,'Monthly Data'!$B$5:$B$121,A10)</f>
        <v>149437</v>
      </c>
      <c r="I10" s="31">
        <f t="shared" si="0"/>
        <v>12453.0833333333</v>
      </c>
    </row>
    <row r="11" spans="1:9">
      <c r="A11" s="27">
        <v>2023</v>
      </c>
      <c r="B11" s="27">
        <f>COUNTIF('Monthly Data'!$B$5:$B$121,A11)</f>
        <v>12</v>
      </c>
      <c r="C11" s="28">
        <f>SUMIFS('Monthly Data'!$D$5:$D$121,'Monthly Data'!$B$5:$B$121,A11)</f>
        <v>171107</v>
      </c>
      <c r="D11" s="28">
        <f>SUMIFS('Monthly Data'!$E$5:$E$121,'Monthly Data'!$B$5:$B$121,A11)</f>
        <v>184650.1</v>
      </c>
      <c r="E11" s="29">
        <f>COUNTIFS('Monthly Data'!$B$5:$B$121,A11,'Monthly Data'!$G$5:$G$121,"Yes")</f>
        <v>4</v>
      </c>
      <c r="F11" s="29">
        <f>COUNTIFS('Monthly Data'!$B$5:$B$121,A11,'Monthly Data'!$H$5:$H$121,"Yes")</f>
        <v>4</v>
      </c>
      <c r="G11" s="30">
        <f>AVERAGEIFS('Monthly Data'!$K$5:$K$121,'Monthly Data'!$B$5:$B$121,A11)</f>
        <v>0.0158867185856878</v>
      </c>
      <c r="H11" s="31">
        <f>SUMIFS('Monthly Data'!$L$5:$L$121,'Monthly Data'!$B$5:$B$121,A11)</f>
        <v>183741</v>
      </c>
      <c r="I11" s="31">
        <f t="shared" si="0"/>
        <v>15311.75</v>
      </c>
    </row>
    <row r="12" spans="1:9">
      <c r="A12" s="27">
        <v>2024</v>
      </c>
      <c r="B12" s="27">
        <f>COUNTIF('Monthly Data'!$B$5:$B$121,A12)</f>
        <v>12</v>
      </c>
      <c r="C12" s="28">
        <f>SUMIFS('Monthly Data'!$D$5:$D$121,'Monthly Data'!$B$5:$B$121,A12)</f>
        <v>427</v>
      </c>
      <c r="D12" s="28">
        <f>SUMIFS('Monthly Data'!$E$5:$E$121,'Monthly Data'!$B$5:$B$121,A12)</f>
        <v>526545.1</v>
      </c>
      <c r="E12" s="29">
        <f>COUNTIFS('Monthly Data'!$B$5:$B$121,A12,'Monthly Data'!$G$5:$G$121,"Yes")</f>
        <v>5</v>
      </c>
      <c r="F12" s="29">
        <f>COUNTIFS('Monthly Data'!$B$5:$B$121,A12,'Monthly Data'!$H$5:$H$121,"Yes")</f>
        <v>5</v>
      </c>
      <c r="G12" s="30">
        <f>AVERAGEIFS('Monthly Data'!$K$5:$K$121,'Monthly Data'!$B$5:$B$121,A12)</f>
        <v>0.00750187267605005</v>
      </c>
      <c r="H12" s="31">
        <f>SUMIFS('Monthly Data'!$L$5:$L$121,'Monthly Data'!$B$5:$B$121,A12)</f>
        <v>268323</v>
      </c>
      <c r="I12" s="31">
        <f t="shared" si="0"/>
        <v>22360.25</v>
      </c>
    </row>
    <row r="13" spans="1:9">
      <c r="A13" s="27">
        <v>2025</v>
      </c>
      <c r="B13" s="27">
        <f>COUNTIF('Monthly Data'!$B$5:$B$121,A13)</f>
        <v>12</v>
      </c>
      <c r="C13" s="28">
        <f>SUMIFS('Monthly Data'!$D$5:$D$121,'Monthly Data'!$B$5:$B$121,A13)</f>
        <v>-166286</v>
      </c>
      <c r="D13" s="28">
        <f>SUMIFS('Monthly Data'!$E$5:$E$121,'Monthly Data'!$B$5:$B$121,A13)</f>
        <v>788184.4</v>
      </c>
      <c r="E13" s="29">
        <f>COUNTIFS('Monthly Data'!$B$5:$B$121,A13,'Monthly Data'!$G$5:$G$121,"Yes")</f>
        <v>8</v>
      </c>
      <c r="F13" s="29">
        <f>COUNTIFS('Monthly Data'!$B$5:$B$121,A13,'Monthly Data'!$H$5:$H$121,"Yes")</f>
        <v>8</v>
      </c>
      <c r="G13" s="30">
        <f>AVERAGEIFS('Monthly Data'!$K$5:$K$121,'Monthly Data'!$B$5:$B$121,A13)</f>
        <v>0.00888190561378158</v>
      </c>
      <c r="H13" s="31">
        <f>SUMIFS('Monthly Data'!$L$5:$L$121,'Monthly Data'!$B$5:$B$121,A13)</f>
        <v>334980</v>
      </c>
      <c r="I13" s="31">
        <f t="shared" si="0"/>
        <v>27915</v>
      </c>
    </row>
    <row r="14" spans="1:9">
      <c r="A14" s="27">
        <v>2026</v>
      </c>
      <c r="B14" s="27">
        <f>COUNTIF('Monthly Data'!$B$5:$B$121,A14)</f>
        <v>9</v>
      </c>
      <c r="C14" s="28">
        <f>SUMIFS('Monthly Data'!$D$5:$D$121,'Monthly Data'!$B$5:$B$121,A14)</f>
        <v>-260302</v>
      </c>
      <c r="D14" s="28">
        <f>SUMIFS('Monthly Data'!$E$5:$E$121,'Monthly Data'!$B$5:$B$121,A14)</f>
        <v>639534.8</v>
      </c>
      <c r="E14" s="29">
        <f>COUNTIFS('Monthly Data'!$B$5:$B$121,A14,'Monthly Data'!$G$5:$G$121,"Yes")</f>
        <v>6</v>
      </c>
      <c r="F14" s="29">
        <f>COUNTIFS('Monthly Data'!$B$5:$B$121,A14,'Monthly Data'!$H$5:$H$121,"Yes")</f>
        <v>5</v>
      </c>
      <c r="G14" s="30">
        <f>AVERAGEIFS('Monthly Data'!$K$5:$K$121,'Monthly Data'!$B$5:$B$121,A14)</f>
        <v>-0.0146269242690733</v>
      </c>
      <c r="H14" s="31">
        <f>SUMIFS('Monthly Data'!$L$5:$L$121,'Monthly Data'!$B$5:$B$121,A14)</f>
        <v>283532</v>
      </c>
      <c r="I14" s="31">
        <f t="shared" si="0"/>
        <v>31503.5555555556</v>
      </c>
    </row>
    <row r="15" spans="1:9">
      <c r="A15" s="32" t="s">
        <v>129</v>
      </c>
      <c r="B15" s="33">
        <f>SUM(B5:B14)</f>
        <v>117</v>
      </c>
      <c r="C15" s="33">
        <f>SUM(C5:C14)</f>
        <v>-61119</v>
      </c>
      <c r="D15" s="33">
        <f>SUM(D5:D14)</f>
        <v>2717682</v>
      </c>
      <c r="E15" s="33">
        <f>SUM(E5:E14)</f>
        <v>53</v>
      </c>
      <c r="F15" s="33">
        <f>SUM(F5:F14)</f>
        <v>42</v>
      </c>
      <c r="G15" s="32"/>
      <c r="H15" s="33">
        <f>SUM(H5:H14)</f>
        <v>1677823</v>
      </c>
      <c r="I15" s="32"/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95959"/>
    <pageSetUpPr fitToPage="1"/>
  </sheetPr>
  <dimension ref="A1:Q122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/>
  <cols>
    <col min="1" max="1" width="11" customWidth="1"/>
    <col min="2" max="2" width="7" customWidth="1"/>
    <col min="3" max="3" width="10" customWidth="1"/>
    <col min="4" max="6" width="14" customWidth="1"/>
    <col min="7" max="7" width="10" customWidth="1"/>
    <col min="8" max="8" width="12" customWidth="1"/>
    <col min="9" max="9" width="16" customWidth="1"/>
    <col min="10" max="11" width="12" customWidth="1"/>
    <col min="12" max="12" width="14" customWidth="1"/>
    <col min="13" max="13" width="18" customWidth="1"/>
    <col min="14" max="16" width="12" customWidth="1"/>
    <col min="17" max="17" width="10" customWidth="1"/>
  </cols>
  <sheetData>
    <row r="1" ht="24" customHeight="1" spans="1:17">
      <c r="A1" s="1" t="s">
        <v>130</v>
      </c>
    </row>
    <row r="2" spans="1:17">
      <c r="A2" s="5" t="s">
        <v>131</v>
      </c>
    </row>
    <row r="4" ht="43.5" customHeight="1" spans="1:17">
      <c r="A4" s="6" t="s">
        <v>83</v>
      </c>
      <c r="B4" s="6" t="s">
        <v>123</v>
      </c>
      <c r="C4" s="6" t="s">
        <v>132</v>
      </c>
      <c r="D4" s="6" t="s">
        <v>124</v>
      </c>
      <c r="E4" s="6" t="s">
        <v>125</v>
      </c>
      <c r="F4" s="6" t="s">
        <v>133</v>
      </c>
      <c r="G4" s="6" t="s">
        <v>134</v>
      </c>
      <c r="H4" s="6" t="s">
        <v>135</v>
      </c>
      <c r="I4" s="6" t="s">
        <v>136</v>
      </c>
      <c r="J4" s="6" t="s">
        <v>137</v>
      </c>
      <c r="K4" s="6" t="s">
        <v>138</v>
      </c>
      <c r="L4" s="6" t="s">
        <v>139</v>
      </c>
      <c r="M4" s="6" t="s">
        <v>140</v>
      </c>
      <c r="N4" s="6" t="s">
        <v>141</v>
      </c>
      <c r="O4" s="6" t="s">
        <v>110</v>
      </c>
      <c r="P4" s="6" t="s">
        <v>142</v>
      </c>
      <c r="Q4" s="6" t="s">
        <v>143</v>
      </c>
    </row>
    <row r="5" spans="1:17">
      <c r="A5" s="7">
        <v>42736</v>
      </c>
      <c r="B5" s="8">
        <f t="shared" ref="B5:B68" si="0">YEAR(A5)</f>
        <v>2017</v>
      </c>
      <c r="C5" s="8" t="s">
        <v>144</v>
      </c>
      <c r="D5" s="9">
        <v>-1177</v>
      </c>
      <c r="E5" s="9">
        <v>4503.9</v>
      </c>
      <c r="F5" s="10">
        <f t="shared" ref="F5:F68" si="1">D5+E5</f>
        <v>3326.9</v>
      </c>
      <c r="G5" s="8" t="str">
        <f t="shared" ref="G5:G68" si="2">IF(D5&lt;0,"Yes","No")</f>
        <v>Yes</v>
      </c>
      <c r="H5" s="8" t="str">
        <f t="shared" ref="H5:H68" si="3">IF(D5&lt;0,IF(E5&gt;=-D5,"Yes","No"),"n/a")</f>
        <v>Yes</v>
      </c>
      <c r="I5" s="11">
        <f t="shared" ref="I5:I68" si="4">IF(D5&lt;0,E5/-D5,"")</f>
        <v>3.82659303313509</v>
      </c>
      <c r="J5" s="12">
        <v>8561.3</v>
      </c>
      <c r="K5" s="13"/>
      <c r="L5" s="14">
        <v>4095</v>
      </c>
      <c r="M5" s="14"/>
      <c r="N5" s="15"/>
      <c r="O5" s="13"/>
      <c r="P5" s="15">
        <v>3.2</v>
      </c>
      <c r="Q5" s="15"/>
    </row>
    <row r="6" spans="1:17">
      <c r="A6" s="7">
        <v>42767</v>
      </c>
      <c r="B6" s="8">
        <f t="shared" si="0"/>
        <v>2017</v>
      </c>
      <c r="C6" s="8" t="s">
        <v>144</v>
      </c>
      <c r="D6" s="9">
        <v>9902</v>
      </c>
      <c r="E6" s="9">
        <v>935.3</v>
      </c>
      <c r="F6" s="10">
        <f t="shared" si="1"/>
        <v>10837.3</v>
      </c>
      <c r="G6" s="8" t="str">
        <f t="shared" si="2"/>
        <v>No</v>
      </c>
      <c r="H6" s="8" t="str">
        <f t="shared" si="3"/>
        <v>n/a</v>
      </c>
      <c r="I6" s="11" t="str">
        <f t="shared" si="4"/>
        <v/>
      </c>
      <c r="J6" s="12">
        <v>8879.6</v>
      </c>
      <c r="K6" s="16">
        <f t="shared" ref="K6:K69" si="5">J6/J5-1</f>
        <v>0.0371789331059538</v>
      </c>
      <c r="L6" s="14">
        <v>4050</v>
      </c>
      <c r="M6" s="14"/>
      <c r="N6" s="15"/>
      <c r="O6" s="13"/>
      <c r="P6" s="15">
        <v>3.7</v>
      </c>
      <c r="Q6" s="15"/>
    </row>
    <row r="7" spans="1:17">
      <c r="A7" s="7">
        <v>42795</v>
      </c>
      <c r="B7" s="8">
        <f t="shared" si="0"/>
        <v>2017</v>
      </c>
      <c r="C7" s="8" t="s">
        <v>144</v>
      </c>
      <c r="D7" s="9">
        <v>30906</v>
      </c>
      <c r="E7" s="9">
        <v>-4395.6</v>
      </c>
      <c r="F7" s="10">
        <f t="shared" si="1"/>
        <v>26510.4</v>
      </c>
      <c r="G7" s="8" t="str">
        <f t="shared" si="2"/>
        <v>No</v>
      </c>
      <c r="H7" s="8" t="str">
        <f t="shared" si="3"/>
        <v>n/a</v>
      </c>
      <c r="I7" s="11" t="str">
        <f t="shared" si="4"/>
        <v/>
      </c>
      <c r="J7" s="12">
        <v>9173.75</v>
      </c>
      <c r="K7" s="16">
        <f t="shared" si="5"/>
        <v>0.0331264921843326</v>
      </c>
      <c r="L7" s="14">
        <v>4335</v>
      </c>
      <c r="M7" s="14">
        <v>543541.22</v>
      </c>
      <c r="N7" s="15"/>
      <c r="O7" s="13"/>
      <c r="P7" s="15">
        <v>3.9</v>
      </c>
      <c r="Q7" s="15"/>
    </row>
    <row r="8" spans="1:17">
      <c r="A8" s="7">
        <v>42826</v>
      </c>
      <c r="B8" s="8">
        <f t="shared" si="0"/>
        <v>2017</v>
      </c>
      <c r="C8" s="8" t="s">
        <v>144</v>
      </c>
      <c r="D8" s="9">
        <v>2394</v>
      </c>
      <c r="E8" s="9">
        <v>9247.4</v>
      </c>
      <c r="F8" s="10">
        <f t="shared" si="1"/>
        <v>11641.4</v>
      </c>
      <c r="G8" s="8" t="str">
        <f t="shared" si="2"/>
        <v>No</v>
      </c>
      <c r="H8" s="8" t="str">
        <f t="shared" si="3"/>
        <v>n/a</v>
      </c>
      <c r="I8" s="11" t="str">
        <f t="shared" si="4"/>
        <v/>
      </c>
      <c r="J8" s="12">
        <v>9304.05</v>
      </c>
      <c r="K8" s="16">
        <f t="shared" si="5"/>
        <v>0.0142035699686605</v>
      </c>
      <c r="L8" s="14">
        <v>4269</v>
      </c>
      <c r="M8" s="14"/>
      <c r="N8" s="15"/>
      <c r="O8" s="13"/>
      <c r="P8" s="15">
        <v>3</v>
      </c>
      <c r="Q8" s="15"/>
    </row>
    <row r="9" spans="1:17">
      <c r="A9" s="7">
        <v>42856</v>
      </c>
      <c r="B9" s="8">
        <f t="shared" si="0"/>
        <v>2017</v>
      </c>
      <c r="C9" s="8" t="s">
        <v>144</v>
      </c>
      <c r="D9" s="9">
        <v>7711</v>
      </c>
      <c r="E9" s="9">
        <v>4277.1</v>
      </c>
      <c r="F9" s="10">
        <f t="shared" si="1"/>
        <v>11988.1</v>
      </c>
      <c r="G9" s="8" t="str">
        <f t="shared" si="2"/>
        <v>No</v>
      </c>
      <c r="H9" s="8" t="str">
        <f t="shared" si="3"/>
        <v>n/a</v>
      </c>
      <c r="I9" s="11" t="str">
        <f t="shared" si="4"/>
        <v/>
      </c>
      <c r="J9" s="12">
        <v>9621.25</v>
      </c>
      <c r="K9" s="16">
        <f t="shared" si="5"/>
        <v>0.0340926800694321</v>
      </c>
      <c r="L9" s="14">
        <v>4584</v>
      </c>
      <c r="M9" s="14"/>
      <c r="N9" s="15"/>
      <c r="O9" s="13"/>
      <c r="P9" s="15">
        <v>2.2</v>
      </c>
      <c r="Q9" s="15"/>
    </row>
    <row r="10" spans="1:17">
      <c r="A10" s="7">
        <v>42887</v>
      </c>
      <c r="B10" s="8">
        <f t="shared" si="0"/>
        <v>2017</v>
      </c>
      <c r="C10" s="8" t="s">
        <v>144</v>
      </c>
      <c r="D10" s="9">
        <v>3617</v>
      </c>
      <c r="E10" s="9">
        <v>6676.1</v>
      </c>
      <c r="F10" s="10">
        <f t="shared" si="1"/>
        <v>10293.1</v>
      </c>
      <c r="G10" s="8" t="str">
        <f t="shared" si="2"/>
        <v>No</v>
      </c>
      <c r="H10" s="8" t="str">
        <f t="shared" si="3"/>
        <v>n/a</v>
      </c>
      <c r="I10" s="11" t="str">
        <f t="shared" si="4"/>
        <v/>
      </c>
      <c r="J10" s="12">
        <v>9520.9</v>
      </c>
      <c r="K10" s="16">
        <f t="shared" si="5"/>
        <v>-0.0104300376770171</v>
      </c>
      <c r="L10" s="14">
        <v>4744</v>
      </c>
      <c r="M10" s="14">
        <v>591376.9</v>
      </c>
      <c r="N10" s="15"/>
      <c r="O10" s="13"/>
      <c r="P10" s="15">
        <v>1.5</v>
      </c>
      <c r="Q10" s="15"/>
    </row>
    <row r="11" spans="1:17">
      <c r="A11" s="7">
        <v>42917</v>
      </c>
      <c r="B11" s="8">
        <f t="shared" si="0"/>
        <v>2017</v>
      </c>
      <c r="C11" s="8" t="s">
        <v>144</v>
      </c>
      <c r="D11" s="9">
        <v>5161</v>
      </c>
      <c r="E11" s="9">
        <v>4786.4</v>
      </c>
      <c r="F11" s="10">
        <f t="shared" si="1"/>
        <v>9947.4</v>
      </c>
      <c r="G11" s="8" t="str">
        <f t="shared" si="2"/>
        <v>No</v>
      </c>
      <c r="H11" s="8" t="str">
        <f t="shared" si="3"/>
        <v>n/a</v>
      </c>
      <c r="I11" s="11" t="str">
        <f t="shared" si="4"/>
        <v/>
      </c>
      <c r="J11" s="12">
        <v>10077.1</v>
      </c>
      <c r="K11" s="16">
        <f t="shared" si="5"/>
        <v>0.0584188469577456</v>
      </c>
      <c r="L11" s="14">
        <v>4947</v>
      </c>
      <c r="M11" s="14"/>
      <c r="N11" s="15"/>
      <c r="O11" s="13"/>
      <c r="P11" s="15">
        <v>2.4</v>
      </c>
      <c r="Q11" s="15"/>
    </row>
    <row r="12" spans="1:17">
      <c r="A12" s="7">
        <v>42948</v>
      </c>
      <c r="B12" s="8">
        <f t="shared" si="0"/>
        <v>2017</v>
      </c>
      <c r="C12" s="8" t="s">
        <v>144</v>
      </c>
      <c r="D12" s="9">
        <v>-12770</v>
      </c>
      <c r="E12" s="9">
        <v>16205.2</v>
      </c>
      <c r="F12" s="10">
        <f t="shared" si="1"/>
        <v>3435.2</v>
      </c>
      <c r="G12" s="8" t="str">
        <f t="shared" si="2"/>
        <v>Yes</v>
      </c>
      <c r="H12" s="8" t="str">
        <f t="shared" si="3"/>
        <v>Yes</v>
      </c>
      <c r="I12" s="11">
        <f t="shared" si="4"/>
        <v>1.26900548159749</v>
      </c>
      <c r="J12" s="12">
        <v>9917.9</v>
      </c>
      <c r="K12" s="16">
        <f t="shared" si="5"/>
        <v>-0.0157981959095376</v>
      </c>
      <c r="L12" s="14">
        <v>5206</v>
      </c>
      <c r="M12" s="14"/>
      <c r="N12" s="15"/>
      <c r="O12" s="13"/>
      <c r="P12" s="15">
        <v>3.3</v>
      </c>
      <c r="Q12" s="15"/>
    </row>
    <row r="13" spans="1:17">
      <c r="A13" s="7">
        <v>42979</v>
      </c>
      <c r="B13" s="8">
        <f t="shared" si="0"/>
        <v>2017</v>
      </c>
      <c r="C13" s="8" t="s">
        <v>144</v>
      </c>
      <c r="D13" s="9">
        <v>-11392</v>
      </c>
      <c r="E13" s="9">
        <v>21025.5</v>
      </c>
      <c r="F13" s="10">
        <f t="shared" si="1"/>
        <v>9633.5</v>
      </c>
      <c r="G13" s="8" t="str">
        <f t="shared" si="2"/>
        <v>Yes</v>
      </c>
      <c r="H13" s="8" t="str">
        <f t="shared" si="3"/>
        <v>Yes</v>
      </c>
      <c r="I13" s="11">
        <f t="shared" si="4"/>
        <v>1.84563728932584</v>
      </c>
      <c r="J13" s="12">
        <v>9788.6</v>
      </c>
      <c r="K13" s="16">
        <f t="shared" si="5"/>
        <v>-0.0130370340495467</v>
      </c>
      <c r="L13" s="14">
        <v>5516</v>
      </c>
      <c r="M13" s="14">
        <v>659182.64</v>
      </c>
      <c r="N13" s="15"/>
      <c r="O13" s="13"/>
      <c r="P13" s="15">
        <v>3.3</v>
      </c>
      <c r="Q13" s="15"/>
    </row>
    <row r="14" spans="1:17">
      <c r="A14" s="7">
        <v>43009</v>
      </c>
      <c r="B14" s="8">
        <f t="shared" si="0"/>
        <v>2017</v>
      </c>
      <c r="C14" s="8" t="s">
        <v>144</v>
      </c>
      <c r="D14" s="9">
        <v>3055</v>
      </c>
      <c r="E14" s="9">
        <v>10090.9</v>
      </c>
      <c r="F14" s="10">
        <f t="shared" si="1"/>
        <v>13145.9</v>
      </c>
      <c r="G14" s="8" t="str">
        <f t="shared" si="2"/>
        <v>No</v>
      </c>
      <c r="H14" s="8" t="str">
        <f t="shared" si="3"/>
        <v>n/a</v>
      </c>
      <c r="I14" s="11" t="str">
        <f t="shared" si="4"/>
        <v/>
      </c>
      <c r="J14" s="12">
        <v>10335.3</v>
      </c>
      <c r="K14" s="16">
        <f t="shared" si="5"/>
        <v>0.0558506834480925</v>
      </c>
      <c r="L14" s="14">
        <v>5621</v>
      </c>
      <c r="M14" s="14"/>
      <c r="N14" s="15">
        <v>64.7745</v>
      </c>
      <c r="O14" s="13"/>
      <c r="P14" s="15">
        <v>3.6</v>
      </c>
      <c r="Q14" s="15">
        <v>6</v>
      </c>
    </row>
    <row r="15" spans="1:17">
      <c r="A15" s="7">
        <v>43040</v>
      </c>
      <c r="B15" s="8">
        <f t="shared" si="0"/>
        <v>2017</v>
      </c>
      <c r="C15" s="8" t="s">
        <v>144</v>
      </c>
      <c r="D15" s="9">
        <v>19728</v>
      </c>
      <c r="E15" s="9">
        <v>9243.2</v>
      </c>
      <c r="F15" s="10">
        <f t="shared" si="1"/>
        <v>28971.2</v>
      </c>
      <c r="G15" s="8" t="str">
        <f t="shared" si="2"/>
        <v>No</v>
      </c>
      <c r="H15" s="8" t="str">
        <f t="shared" si="3"/>
        <v>n/a</v>
      </c>
      <c r="I15" s="11" t="str">
        <f t="shared" si="4"/>
        <v/>
      </c>
      <c r="J15" s="12">
        <v>10226.55</v>
      </c>
      <c r="K15" s="16">
        <f t="shared" si="5"/>
        <v>-0.0105221909378538</v>
      </c>
      <c r="L15" s="14">
        <v>5893</v>
      </c>
      <c r="M15" s="14"/>
      <c r="N15" s="15">
        <v>64.4332</v>
      </c>
      <c r="O15" s="16">
        <f t="shared" ref="O15:O78" si="6">N15/N14-1</f>
        <v>-0.0052690487769107</v>
      </c>
      <c r="P15" s="15">
        <v>4.9</v>
      </c>
      <c r="Q15" s="15">
        <v>6</v>
      </c>
    </row>
    <row r="16" spans="1:17">
      <c r="A16" s="7">
        <v>43070</v>
      </c>
      <c r="B16" s="8">
        <f t="shared" si="0"/>
        <v>2017</v>
      </c>
      <c r="C16" s="8" t="s">
        <v>144</v>
      </c>
      <c r="D16" s="9">
        <v>-5883</v>
      </c>
      <c r="E16" s="9">
        <v>8142.9</v>
      </c>
      <c r="F16" s="10">
        <f t="shared" si="1"/>
        <v>2259.9</v>
      </c>
      <c r="G16" s="8" t="str">
        <f t="shared" si="2"/>
        <v>Yes</v>
      </c>
      <c r="H16" s="8" t="str">
        <f t="shared" si="3"/>
        <v>Yes</v>
      </c>
      <c r="I16" s="11">
        <f t="shared" si="4"/>
        <v>1.3841407445181</v>
      </c>
      <c r="J16" s="12">
        <v>10530.7</v>
      </c>
      <c r="K16" s="16">
        <f t="shared" si="5"/>
        <v>0.0297412128234842</v>
      </c>
      <c r="L16" s="14">
        <v>6222</v>
      </c>
      <c r="M16" s="14">
        <v>771134.5</v>
      </c>
      <c r="N16" s="15">
        <v>63.9273</v>
      </c>
      <c r="O16" s="16">
        <f t="shared" si="6"/>
        <v>-0.00785154237256569</v>
      </c>
      <c r="P16" s="15">
        <v>5.2</v>
      </c>
      <c r="Q16" s="15">
        <v>6</v>
      </c>
    </row>
    <row r="17" spans="1:17">
      <c r="A17" s="7">
        <v>43101</v>
      </c>
      <c r="B17" s="8">
        <f t="shared" si="0"/>
        <v>2018</v>
      </c>
      <c r="C17" s="8" t="s">
        <v>144</v>
      </c>
      <c r="D17" s="9">
        <v>13781</v>
      </c>
      <c r="E17" s="9">
        <v>398.7</v>
      </c>
      <c r="F17" s="10">
        <f t="shared" si="1"/>
        <v>14179.7</v>
      </c>
      <c r="G17" s="8" t="str">
        <f t="shared" si="2"/>
        <v>No</v>
      </c>
      <c r="H17" s="8" t="str">
        <f t="shared" si="3"/>
        <v>n/a</v>
      </c>
      <c r="I17" s="11" t="str">
        <f t="shared" si="4"/>
        <v/>
      </c>
      <c r="J17" s="12">
        <v>11027.7</v>
      </c>
      <c r="K17" s="16">
        <f t="shared" si="5"/>
        <v>0.0471953431395824</v>
      </c>
      <c r="L17" s="14">
        <v>6644</v>
      </c>
      <c r="M17" s="14"/>
      <c r="N17" s="15">
        <v>63.6878</v>
      </c>
      <c r="O17" s="16">
        <f t="shared" si="6"/>
        <v>-0.00374644322535134</v>
      </c>
      <c r="P17" s="15">
        <v>5.1</v>
      </c>
      <c r="Q17" s="15">
        <v>6</v>
      </c>
    </row>
    <row r="18" spans="1:17">
      <c r="A18" s="7">
        <v>43132</v>
      </c>
      <c r="B18" s="8">
        <f t="shared" si="0"/>
        <v>2018</v>
      </c>
      <c r="C18" s="8" t="s">
        <v>144</v>
      </c>
      <c r="D18" s="9">
        <v>-11423</v>
      </c>
      <c r="E18" s="9">
        <v>17813</v>
      </c>
      <c r="F18" s="10">
        <f t="shared" si="1"/>
        <v>6390</v>
      </c>
      <c r="G18" s="8" t="str">
        <f t="shared" si="2"/>
        <v>Yes</v>
      </c>
      <c r="H18" s="8" t="str">
        <f t="shared" si="3"/>
        <v>Yes</v>
      </c>
      <c r="I18" s="11">
        <f t="shared" si="4"/>
        <v>1.55939770638186</v>
      </c>
      <c r="J18" s="12">
        <v>10492.85</v>
      </c>
      <c r="K18" s="16">
        <f t="shared" si="5"/>
        <v>-0.0485005939588491</v>
      </c>
      <c r="L18" s="14">
        <v>6425</v>
      </c>
      <c r="M18" s="14"/>
      <c r="N18" s="15">
        <v>65.1031</v>
      </c>
      <c r="O18" s="16">
        <f t="shared" si="6"/>
        <v>0.0222224664692452</v>
      </c>
      <c r="P18" s="15">
        <v>4.4</v>
      </c>
      <c r="Q18" s="15">
        <v>6</v>
      </c>
    </row>
    <row r="19" spans="1:17">
      <c r="A19" s="7">
        <v>43160</v>
      </c>
      <c r="B19" s="8">
        <f t="shared" si="0"/>
        <v>2018</v>
      </c>
      <c r="C19" s="8" t="s">
        <v>144</v>
      </c>
      <c r="D19" s="9">
        <v>11654</v>
      </c>
      <c r="E19" s="9">
        <v>6693.9</v>
      </c>
      <c r="F19" s="10">
        <f t="shared" si="1"/>
        <v>18347.9</v>
      </c>
      <c r="G19" s="8" t="str">
        <f t="shared" si="2"/>
        <v>No</v>
      </c>
      <c r="H19" s="8" t="str">
        <f t="shared" si="3"/>
        <v>n/a</v>
      </c>
      <c r="I19" s="11" t="str">
        <f t="shared" si="4"/>
        <v/>
      </c>
      <c r="J19" s="12">
        <v>10113.7</v>
      </c>
      <c r="K19" s="16">
        <f t="shared" si="5"/>
        <v>-0.0361341294309935</v>
      </c>
      <c r="L19" s="14">
        <v>7119</v>
      </c>
      <c r="M19" s="14">
        <v>749789.68</v>
      </c>
      <c r="N19" s="15">
        <v>65.0441</v>
      </c>
      <c r="O19" s="16">
        <f t="shared" si="6"/>
        <v>-0.00090625484807938</v>
      </c>
      <c r="P19" s="15">
        <v>4.3</v>
      </c>
      <c r="Q19" s="15">
        <v>6</v>
      </c>
    </row>
    <row r="20" spans="1:17">
      <c r="A20" s="7">
        <v>43191</v>
      </c>
      <c r="B20" s="8">
        <f t="shared" si="0"/>
        <v>2018</v>
      </c>
      <c r="C20" s="8" t="s">
        <v>144</v>
      </c>
      <c r="D20" s="9">
        <v>-5552</v>
      </c>
      <c r="E20" s="9">
        <v>8663.9</v>
      </c>
      <c r="F20" s="10">
        <f t="shared" si="1"/>
        <v>3111.9</v>
      </c>
      <c r="G20" s="8" t="str">
        <f t="shared" si="2"/>
        <v>Yes</v>
      </c>
      <c r="H20" s="8" t="str">
        <f t="shared" si="3"/>
        <v>Yes</v>
      </c>
      <c r="I20" s="11">
        <f t="shared" si="4"/>
        <v>1.5605007204611</v>
      </c>
      <c r="J20" s="12">
        <v>10739.35</v>
      </c>
      <c r="K20" s="16">
        <f t="shared" si="5"/>
        <v>0.0618616332301729</v>
      </c>
      <c r="L20" s="14">
        <v>6690</v>
      </c>
      <c r="M20" s="14"/>
      <c r="N20" s="15">
        <v>66.7801</v>
      </c>
      <c r="O20" s="16">
        <f t="shared" si="6"/>
        <v>0.0266895844511648</v>
      </c>
      <c r="P20" s="15">
        <v>4.6</v>
      </c>
      <c r="Q20" s="15">
        <v>6</v>
      </c>
    </row>
    <row r="21" spans="1:17">
      <c r="A21" s="7">
        <v>43221</v>
      </c>
      <c r="B21" s="8">
        <f t="shared" si="0"/>
        <v>2018</v>
      </c>
      <c r="C21" s="8" t="s">
        <v>144</v>
      </c>
      <c r="D21" s="9">
        <v>-10060</v>
      </c>
      <c r="E21" s="9">
        <v>15054.5</v>
      </c>
      <c r="F21" s="10">
        <f t="shared" si="1"/>
        <v>4994.5</v>
      </c>
      <c r="G21" s="8" t="str">
        <f t="shared" si="2"/>
        <v>Yes</v>
      </c>
      <c r="H21" s="8" t="str">
        <f t="shared" si="3"/>
        <v>Yes</v>
      </c>
      <c r="I21" s="11">
        <f t="shared" si="4"/>
        <v>1.49647117296223</v>
      </c>
      <c r="J21" s="12">
        <v>10736.15</v>
      </c>
      <c r="K21" s="16">
        <f t="shared" si="5"/>
        <v>-0.000297969616410709</v>
      </c>
      <c r="L21" s="14">
        <v>7304</v>
      </c>
      <c r="M21" s="14"/>
      <c r="N21" s="15">
        <v>67.4526</v>
      </c>
      <c r="O21" s="16">
        <f t="shared" si="6"/>
        <v>0.0100703652734873</v>
      </c>
      <c r="P21" s="15">
        <v>4.9</v>
      </c>
      <c r="Q21" s="15">
        <v>6</v>
      </c>
    </row>
    <row r="22" spans="1:17">
      <c r="A22" s="7">
        <v>43252</v>
      </c>
      <c r="B22" s="8">
        <f t="shared" si="0"/>
        <v>2018</v>
      </c>
      <c r="C22" s="8" t="s">
        <v>144</v>
      </c>
      <c r="D22" s="9">
        <v>-4831</v>
      </c>
      <c r="E22" s="9">
        <v>14146.2</v>
      </c>
      <c r="F22" s="10">
        <f t="shared" si="1"/>
        <v>9315.2</v>
      </c>
      <c r="G22" s="8" t="str">
        <f t="shared" si="2"/>
        <v>Yes</v>
      </c>
      <c r="H22" s="8" t="str">
        <f t="shared" si="3"/>
        <v>Yes</v>
      </c>
      <c r="I22" s="11">
        <f t="shared" si="4"/>
        <v>2.92821362036845</v>
      </c>
      <c r="J22" s="12">
        <v>10714.3</v>
      </c>
      <c r="K22" s="16">
        <f t="shared" si="5"/>
        <v>-0.00203518020892035</v>
      </c>
      <c r="L22" s="14">
        <v>7554</v>
      </c>
      <c r="M22" s="14">
        <v>786591.17</v>
      </c>
      <c r="N22" s="15">
        <v>68.5753</v>
      </c>
      <c r="O22" s="16">
        <f t="shared" si="6"/>
        <v>0.0166442805762861</v>
      </c>
      <c r="P22" s="15">
        <v>4.9</v>
      </c>
      <c r="Q22" s="15">
        <v>6.25</v>
      </c>
    </row>
    <row r="23" spans="1:17">
      <c r="A23" s="7">
        <v>43282</v>
      </c>
      <c r="B23" s="8">
        <f t="shared" si="0"/>
        <v>2018</v>
      </c>
      <c r="C23" s="8" t="s">
        <v>144</v>
      </c>
      <c r="D23" s="9">
        <v>2264</v>
      </c>
      <c r="E23" s="9">
        <v>3845.9</v>
      </c>
      <c r="F23" s="10">
        <f t="shared" si="1"/>
        <v>6109.9</v>
      </c>
      <c r="G23" s="8" t="str">
        <f t="shared" si="2"/>
        <v>No</v>
      </c>
      <c r="H23" s="8" t="str">
        <f t="shared" si="3"/>
        <v>n/a</v>
      </c>
      <c r="I23" s="11" t="str">
        <f t="shared" si="4"/>
        <v/>
      </c>
      <c r="J23" s="12">
        <v>11356.5</v>
      </c>
      <c r="K23" s="16">
        <f t="shared" si="5"/>
        <v>0.0599385867485511</v>
      </c>
      <c r="L23" s="14">
        <v>7554</v>
      </c>
      <c r="M23" s="14"/>
      <c r="N23" s="15">
        <v>68.6068</v>
      </c>
      <c r="O23" s="16">
        <f t="shared" si="6"/>
        <v>0.000459349065917491</v>
      </c>
      <c r="P23" s="15">
        <v>4.2</v>
      </c>
      <c r="Q23" s="15">
        <v>6.25</v>
      </c>
    </row>
    <row r="24" spans="1:17">
      <c r="A24" s="7">
        <v>43313</v>
      </c>
      <c r="B24" s="8">
        <f t="shared" si="0"/>
        <v>2018</v>
      </c>
      <c r="C24" s="8" t="s">
        <v>144</v>
      </c>
      <c r="D24" s="9">
        <v>1775</v>
      </c>
      <c r="E24" s="9">
        <v>2822.7</v>
      </c>
      <c r="F24" s="10">
        <f t="shared" si="1"/>
        <v>4597.7</v>
      </c>
      <c r="G24" s="8" t="str">
        <f t="shared" si="2"/>
        <v>No</v>
      </c>
      <c r="H24" s="8" t="str">
        <f t="shared" si="3"/>
        <v>n/a</v>
      </c>
      <c r="I24" s="11" t="str">
        <f t="shared" si="4"/>
        <v/>
      </c>
      <c r="J24" s="12">
        <v>11680.5</v>
      </c>
      <c r="K24" s="16">
        <f t="shared" si="5"/>
        <v>0.0285299167877426</v>
      </c>
      <c r="L24" s="14">
        <v>7658</v>
      </c>
      <c r="M24" s="14"/>
      <c r="N24" s="15">
        <v>70.9255</v>
      </c>
      <c r="O24" s="16">
        <f t="shared" si="6"/>
        <v>0.0337969414110553</v>
      </c>
      <c r="P24" s="15">
        <v>3.7</v>
      </c>
      <c r="Q24" s="15">
        <v>6.5</v>
      </c>
    </row>
    <row r="25" spans="1:17">
      <c r="A25" s="7">
        <v>43344</v>
      </c>
      <c r="B25" s="8">
        <f t="shared" si="0"/>
        <v>2018</v>
      </c>
      <c r="C25" s="8" t="s">
        <v>144</v>
      </c>
      <c r="D25" s="9">
        <v>-10825</v>
      </c>
      <c r="E25" s="9">
        <v>12504</v>
      </c>
      <c r="F25" s="10">
        <f t="shared" si="1"/>
        <v>1679</v>
      </c>
      <c r="G25" s="8" t="str">
        <f t="shared" si="2"/>
        <v>Yes</v>
      </c>
      <c r="H25" s="8" t="str">
        <f t="shared" si="3"/>
        <v>Yes</v>
      </c>
      <c r="I25" s="11">
        <f t="shared" si="4"/>
        <v>1.155103926097</v>
      </c>
      <c r="J25" s="12">
        <v>10930.45</v>
      </c>
      <c r="K25" s="16">
        <f t="shared" si="5"/>
        <v>-0.0642138607080176</v>
      </c>
      <c r="L25" s="14">
        <v>7727</v>
      </c>
      <c r="M25" s="14">
        <v>802215.26</v>
      </c>
      <c r="N25" s="15">
        <v>72.5474</v>
      </c>
      <c r="O25" s="16">
        <f t="shared" si="6"/>
        <v>0.0228676569076003</v>
      </c>
      <c r="P25" s="15">
        <v>3.7</v>
      </c>
      <c r="Q25" s="15">
        <v>6.5</v>
      </c>
    </row>
    <row r="26" spans="1:17">
      <c r="A26" s="7">
        <v>43374</v>
      </c>
      <c r="B26" s="8">
        <f t="shared" si="0"/>
        <v>2018</v>
      </c>
      <c r="C26" s="8" t="s">
        <v>144</v>
      </c>
      <c r="D26" s="9">
        <v>-28921</v>
      </c>
      <c r="E26" s="9">
        <v>26033.9</v>
      </c>
      <c r="F26" s="10">
        <f t="shared" si="1"/>
        <v>-2887.1</v>
      </c>
      <c r="G26" s="8" t="str">
        <f t="shared" si="2"/>
        <v>Yes</v>
      </c>
      <c r="H26" s="8" t="str">
        <f t="shared" si="3"/>
        <v>No</v>
      </c>
      <c r="I26" s="11">
        <f t="shared" si="4"/>
        <v>0.900172884755022</v>
      </c>
      <c r="J26" s="12">
        <v>10386.6</v>
      </c>
      <c r="K26" s="16">
        <f t="shared" si="5"/>
        <v>-0.0497554995448495</v>
      </c>
      <c r="L26" s="14">
        <v>7985</v>
      </c>
      <c r="M26" s="14"/>
      <c r="N26" s="15">
        <v>73.9936</v>
      </c>
      <c r="O26" s="16">
        <f t="shared" si="6"/>
        <v>0.0199345531335375</v>
      </c>
      <c r="P26" s="15">
        <v>3.38</v>
      </c>
      <c r="Q26" s="15">
        <v>6.5</v>
      </c>
    </row>
    <row r="27" spans="1:17">
      <c r="A27" s="7">
        <v>43405</v>
      </c>
      <c r="B27" s="8">
        <f t="shared" si="0"/>
        <v>2018</v>
      </c>
      <c r="C27" s="8" t="s">
        <v>144</v>
      </c>
      <c r="D27" s="9">
        <v>5981</v>
      </c>
      <c r="E27" s="9">
        <v>1309.5</v>
      </c>
      <c r="F27" s="10">
        <f t="shared" si="1"/>
        <v>7290.5</v>
      </c>
      <c r="G27" s="8" t="str">
        <f t="shared" si="2"/>
        <v>No</v>
      </c>
      <c r="H27" s="8" t="str">
        <f t="shared" si="3"/>
        <v>n/a</v>
      </c>
      <c r="I27" s="11" t="str">
        <f t="shared" si="4"/>
        <v/>
      </c>
      <c r="J27" s="12">
        <v>10876.75</v>
      </c>
      <c r="K27" s="16">
        <f t="shared" si="5"/>
        <v>0.0471906109795313</v>
      </c>
      <c r="L27" s="14">
        <v>7985</v>
      </c>
      <c r="M27" s="14"/>
      <c r="N27" s="15">
        <v>69.6574</v>
      </c>
      <c r="O27" s="16">
        <f t="shared" si="6"/>
        <v>-0.0586023656099988</v>
      </c>
      <c r="P27" s="15">
        <v>2.33</v>
      </c>
      <c r="Q27" s="15">
        <v>6.5</v>
      </c>
    </row>
    <row r="28" spans="1:17">
      <c r="A28" s="7">
        <v>43435</v>
      </c>
      <c r="B28" s="8">
        <f t="shared" si="0"/>
        <v>2018</v>
      </c>
      <c r="C28" s="8" t="s">
        <v>144</v>
      </c>
      <c r="D28" s="9">
        <v>3143</v>
      </c>
      <c r="E28" s="9">
        <v>375.6</v>
      </c>
      <c r="F28" s="10">
        <f t="shared" si="1"/>
        <v>3518.6</v>
      </c>
      <c r="G28" s="8" t="str">
        <f t="shared" si="2"/>
        <v>No</v>
      </c>
      <c r="H28" s="8" t="str">
        <f t="shared" si="3"/>
        <v>n/a</v>
      </c>
      <c r="I28" s="11" t="str">
        <f t="shared" si="4"/>
        <v/>
      </c>
      <c r="J28" s="12">
        <v>10862.55</v>
      </c>
      <c r="K28" s="16">
        <f t="shared" si="5"/>
        <v>-0.00130553704001657</v>
      </c>
      <c r="L28" s="14">
        <v>8022</v>
      </c>
      <c r="M28" s="14">
        <v>844054.16</v>
      </c>
      <c r="N28" s="15">
        <v>69.7923</v>
      </c>
      <c r="O28" s="16">
        <f t="shared" si="6"/>
        <v>0.00193662123478622</v>
      </c>
      <c r="P28" s="15">
        <v>2.11</v>
      </c>
      <c r="Q28" s="15">
        <v>6.5</v>
      </c>
    </row>
    <row r="29" spans="1:17">
      <c r="A29" s="7">
        <v>43466</v>
      </c>
      <c r="B29" s="8">
        <f t="shared" si="0"/>
        <v>2019</v>
      </c>
      <c r="C29" s="8" t="s">
        <v>144</v>
      </c>
      <c r="D29" s="9">
        <v>-4262</v>
      </c>
      <c r="E29" s="9">
        <v>2146.9</v>
      </c>
      <c r="F29" s="10">
        <f t="shared" si="1"/>
        <v>-2115.1</v>
      </c>
      <c r="G29" s="8" t="str">
        <f t="shared" si="2"/>
        <v>Yes</v>
      </c>
      <c r="H29" s="8" t="str">
        <f t="shared" si="3"/>
        <v>No</v>
      </c>
      <c r="I29" s="11">
        <f t="shared" si="4"/>
        <v>0.503730642890662</v>
      </c>
      <c r="J29" s="12">
        <v>10830.95</v>
      </c>
      <c r="K29" s="16">
        <f t="shared" si="5"/>
        <v>-0.00290907751863034</v>
      </c>
      <c r="L29" s="14">
        <v>8064</v>
      </c>
      <c r="M29" s="14"/>
      <c r="N29" s="15">
        <v>71.0333</v>
      </c>
      <c r="O29" s="16">
        <f t="shared" si="6"/>
        <v>0.0177813311783679</v>
      </c>
      <c r="P29" s="15">
        <v>1.97</v>
      </c>
      <c r="Q29" s="15">
        <v>6.5</v>
      </c>
    </row>
    <row r="30" spans="1:17">
      <c r="A30" s="7">
        <v>43497</v>
      </c>
      <c r="B30" s="8">
        <f t="shared" si="0"/>
        <v>2019</v>
      </c>
      <c r="C30" s="8" t="s">
        <v>144</v>
      </c>
      <c r="D30" s="9">
        <v>17220</v>
      </c>
      <c r="E30" s="9">
        <v>-565.9</v>
      </c>
      <c r="F30" s="10">
        <f t="shared" si="1"/>
        <v>16654.1</v>
      </c>
      <c r="G30" s="8" t="str">
        <f t="shared" si="2"/>
        <v>No</v>
      </c>
      <c r="H30" s="8" t="str">
        <f t="shared" si="3"/>
        <v>n/a</v>
      </c>
      <c r="I30" s="11" t="str">
        <f t="shared" si="4"/>
        <v/>
      </c>
      <c r="J30" s="12">
        <v>10792.5</v>
      </c>
      <c r="K30" s="16">
        <f t="shared" si="5"/>
        <v>-0.00355001177182068</v>
      </c>
      <c r="L30" s="14">
        <v>8095</v>
      </c>
      <c r="M30" s="14"/>
      <c r="N30" s="15">
        <v>71.1953</v>
      </c>
      <c r="O30" s="16">
        <f t="shared" si="6"/>
        <v>0.00228062049771038</v>
      </c>
      <c r="P30" s="15">
        <v>2.57</v>
      </c>
      <c r="Q30" s="15">
        <v>6.25</v>
      </c>
    </row>
    <row r="31" spans="1:17">
      <c r="A31" s="7">
        <v>43525</v>
      </c>
      <c r="B31" s="8">
        <f t="shared" si="0"/>
        <v>2019</v>
      </c>
      <c r="C31" s="8" t="s">
        <v>144</v>
      </c>
      <c r="D31" s="9">
        <v>33981</v>
      </c>
      <c r="E31" s="9">
        <v>-13930.2</v>
      </c>
      <c r="F31" s="10">
        <f t="shared" si="1"/>
        <v>20050.8</v>
      </c>
      <c r="G31" s="8" t="str">
        <f t="shared" si="2"/>
        <v>No</v>
      </c>
      <c r="H31" s="8" t="str">
        <f t="shared" si="3"/>
        <v>n/a</v>
      </c>
      <c r="I31" s="11" t="str">
        <f t="shared" si="4"/>
        <v/>
      </c>
      <c r="J31" s="12">
        <v>11623.9</v>
      </c>
      <c r="K31" s="16">
        <f t="shared" si="5"/>
        <v>0.0770349779939772</v>
      </c>
      <c r="L31" s="14">
        <v>8055</v>
      </c>
      <c r="M31" s="14">
        <v>892101.03</v>
      </c>
      <c r="N31" s="15">
        <v>69.1713</v>
      </c>
      <c r="O31" s="16">
        <f t="shared" si="6"/>
        <v>-0.0284288429151924</v>
      </c>
      <c r="P31" s="15">
        <v>2.86</v>
      </c>
      <c r="Q31" s="15">
        <v>6.25</v>
      </c>
    </row>
    <row r="32" spans="1:17">
      <c r="A32" s="7">
        <v>43556</v>
      </c>
      <c r="B32" s="8">
        <f t="shared" si="0"/>
        <v>2019</v>
      </c>
      <c r="C32" s="8" t="s">
        <v>144</v>
      </c>
      <c r="D32" s="9">
        <v>21193</v>
      </c>
      <c r="E32" s="9">
        <v>-4219.5</v>
      </c>
      <c r="F32" s="10">
        <f t="shared" si="1"/>
        <v>16973.5</v>
      </c>
      <c r="G32" s="8" t="str">
        <f t="shared" si="2"/>
        <v>No</v>
      </c>
      <c r="H32" s="8" t="str">
        <f t="shared" si="3"/>
        <v>n/a</v>
      </c>
      <c r="I32" s="11" t="str">
        <f t="shared" si="4"/>
        <v/>
      </c>
      <c r="J32" s="12">
        <v>11748.15</v>
      </c>
      <c r="K32" s="16">
        <f t="shared" si="5"/>
        <v>0.0106891834926315</v>
      </c>
      <c r="L32" s="14">
        <v>8238</v>
      </c>
      <c r="M32" s="14"/>
      <c r="N32" s="15">
        <v>69.8368</v>
      </c>
      <c r="O32" s="16">
        <f t="shared" si="6"/>
        <v>0.00962104225307314</v>
      </c>
      <c r="P32" s="15">
        <v>2.99</v>
      </c>
      <c r="Q32" s="15">
        <v>6</v>
      </c>
    </row>
    <row r="33" spans="1:17">
      <c r="A33" s="7">
        <v>43586</v>
      </c>
      <c r="B33" s="8">
        <f t="shared" si="0"/>
        <v>2019</v>
      </c>
      <c r="C33" s="8" t="s">
        <v>144</v>
      </c>
      <c r="D33" s="9">
        <v>7920</v>
      </c>
      <c r="E33" s="9">
        <v>5316.3</v>
      </c>
      <c r="F33" s="10">
        <f t="shared" si="1"/>
        <v>13236.3</v>
      </c>
      <c r="G33" s="8" t="str">
        <f t="shared" si="2"/>
        <v>No</v>
      </c>
      <c r="H33" s="8" t="str">
        <f t="shared" si="3"/>
        <v>n/a</v>
      </c>
      <c r="I33" s="11" t="str">
        <f t="shared" si="4"/>
        <v/>
      </c>
      <c r="J33" s="12">
        <v>11922.8</v>
      </c>
      <c r="K33" s="16">
        <f t="shared" si="5"/>
        <v>0.0148661704183211</v>
      </c>
      <c r="L33" s="14">
        <v>8183</v>
      </c>
      <c r="M33" s="14"/>
      <c r="N33" s="15">
        <v>69.8058</v>
      </c>
      <c r="O33" s="16">
        <f t="shared" si="6"/>
        <v>-0.000443892045454475</v>
      </c>
      <c r="P33" s="15">
        <v>3.05</v>
      </c>
      <c r="Q33" s="15">
        <v>6</v>
      </c>
    </row>
    <row r="34" spans="1:17">
      <c r="A34" s="7">
        <v>43617</v>
      </c>
      <c r="B34" s="8">
        <f t="shared" si="0"/>
        <v>2019</v>
      </c>
      <c r="C34" s="8" t="s">
        <v>144</v>
      </c>
      <c r="D34" s="9">
        <v>2596</v>
      </c>
      <c r="E34" s="9">
        <v>3643.3</v>
      </c>
      <c r="F34" s="10">
        <f t="shared" si="1"/>
        <v>6239.3</v>
      </c>
      <c r="G34" s="8" t="str">
        <f t="shared" si="2"/>
        <v>No</v>
      </c>
      <c r="H34" s="8" t="str">
        <f t="shared" si="3"/>
        <v>n/a</v>
      </c>
      <c r="I34" s="11" t="str">
        <f t="shared" si="4"/>
        <v/>
      </c>
      <c r="J34" s="12">
        <v>11788.85</v>
      </c>
      <c r="K34" s="16">
        <f t="shared" si="5"/>
        <v>-0.0112347770657898</v>
      </c>
      <c r="L34" s="14">
        <v>8122</v>
      </c>
      <c r="M34" s="14">
        <v>760189.57</v>
      </c>
      <c r="N34" s="15">
        <v>68.918</v>
      </c>
      <c r="O34" s="16">
        <f t="shared" si="6"/>
        <v>-0.0127181408994668</v>
      </c>
      <c r="P34" s="15">
        <v>3.18</v>
      </c>
      <c r="Q34" s="15">
        <v>5.75</v>
      </c>
    </row>
    <row r="35" spans="1:17">
      <c r="A35" s="7">
        <v>43647</v>
      </c>
      <c r="B35" s="8">
        <f t="shared" si="0"/>
        <v>2019</v>
      </c>
      <c r="C35" s="8" t="s">
        <v>144</v>
      </c>
      <c r="D35" s="9">
        <v>-12419</v>
      </c>
      <c r="E35" s="9">
        <v>20394.5</v>
      </c>
      <c r="F35" s="10">
        <f t="shared" si="1"/>
        <v>7975.5</v>
      </c>
      <c r="G35" s="8" t="str">
        <f t="shared" si="2"/>
        <v>Yes</v>
      </c>
      <c r="H35" s="8" t="str">
        <f t="shared" si="3"/>
        <v>Yes</v>
      </c>
      <c r="I35" s="11">
        <f t="shared" si="4"/>
        <v>1.64220146549642</v>
      </c>
      <c r="J35" s="12">
        <v>11118</v>
      </c>
      <c r="K35" s="16">
        <f t="shared" si="5"/>
        <v>-0.0569054657578983</v>
      </c>
      <c r="L35" s="14">
        <v>8324</v>
      </c>
      <c r="M35" s="14"/>
      <c r="N35" s="15">
        <v>68.8569</v>
      </c>
      <c r="O35" s="16">
        <f t="shared" si="6"/>
        <v>-0.000886560840419159</v>
      </c>
      <c r="P35" s="15">
        <v>3.15</v>
      </c>
      <c r="Q35" s="15">
        <v>5.75</v>
      </c>
    </row>
    <row r="36" spans="1:17">
      <c r="A36" s="7">
        <v>43678</v>
      </c>
      <c r="B36" s="8">
        <f t="shared" si="0"/>
        <v>2019</v>
      </c>
      <c r="C36" s="8" t="s">
        <v>144</v>
      </c>
      <c r="D36" s="9">
        <v>-17592</v>
      </c>
      <c r="E36" s="9">
        <v>20933.6</v>
      </c>
      <c r="F36" s="10">
        <f t="shared" si="1"/>
        <v>3341.6</v>
      </c>
      <c r="G36" s="8" t="str">
        <f t="shared" si="2"/>
        <v>Yes</v>
      </c>
      <c r="H36" s="8" t="str">
        <f t="shared" si="3"/>
        <v>Yes</v>
      </c>
      <c r="I36" s="11">
        <f t="shared" si="4"/>
        <v>1.18994997726239</v>
      </c>
      <c r="J36" s="12">
        <v>11023.25</v>
      </c>
      <c r="K36" s="16">
        <f t="shared" si="5"/>
        <v>-0.00852221622593996</v>
      </c>
      <c r="L36" s="14">
        <v>8231</v>
      </c>
      <c r="M36" s="14"/>
      <c r="N36" s="15">
        <v>71.7586</v>
      </c>
      <c r="O36" s="16">
        <f t="shared" si="6"/>
        <v>0.0421410199994483</v>
      </c>
      <c r="P36" s="15">
        <v>3.28</v>
      </c>
      <c r="Q36" s="15">
        <v>5.4</v>
      </c>
    </row>
    <row r="37" spans="1:17">
      <c r="A37" s="7">
        <v>43709</v>
      </c>
      <c r="B37" s="8">
        <f t="shared" si="0"/>
        <v>2019</v>
      </c>
      <c r="C37" s="8" t="s">
        <v>144</v>
      </c>
      <c r="D37" s="9">
        <v>7548</v>
      </c>
      <c r="E37" s="9">
        <v>12490.8</v>
      </c>
      <c r="F37" s="10">
        <f t="shared" si="1"/>
        <v>20038.8</v>
      </c>
      <c r="G37" s="8" t="str">
        <f t="shared" si="2"/>
        <v>No</v>
      </c>
      <c r="H37" s="8" t="str">
        <f t="shared" si="3"/>
        <v>n/a</v>
      </c>
      <c r="I37" s="11" t="str">
        <f t="shared" si="4"/>
        <v/>
      </c>
      <c r="J37" s="12">
        <v>11474.45</v>
      </c>
      <c r="K37" s="16">
        <f t="shared" si="5"/>
        <v>0.0409316671580524</v>
      </c>
      <c r="L37" s="14">
        <v>8263</v>
      </c>
      <c r="M37" s="14">
        <v>759324.71</v>
      </c>
      <c r="N37" s="15">
        <v>70.685</v>
      </c>
      <c r="O37" s="16">
        <f t="shared" si="6"/>
        <v>-0.0149612729345333</v>
      </c>
      <c r="P37" s="15">
        <v>3.99</v>
      </c>
      <c r="Q37" s="15">
        <v>5.4</v>
      </c>
    </row>
    <row r="38" spans="1:17">
      <c r="A38" s="7">
        <v>43739</v>
      </c>
      <c r="B38" s="8">
        <f t="shared" si="0"/>
        <v>2019</v>
      </c>
      <c r="C38" s="8" t="s">
        <v>144</v>
      </c>
      <c r="D38" s="9">
        <v>12368</v>
      </c>
      <c r="E38" s="9">
        <v>4758.5</v>
      </c>
      <c r="F38" s="10">
        <f t="shared" si="1"/>
        <v>17126.5</v>
      </c>
      <c r="G38" s="8" t="str">
        <f t="shared" si="2"/>
        <v>No</v>
      </c>
      <c r="H38" s="8" t="str">
        <f t="shared" si="3"/>
        <v>n/a</v>
      </c>
      <c r="I38" s="11" t="str">
        <f t="shared" si="4"/>
        <v/>
      </c>
      <c r="J38" s="12">
        <v>11877.45</v>
      </c>
      <c r="K38" s="16">
        <f t="shared" si="5"/>
        <v>0.035121509091939</v>
      </c>
      <c r="L38" s="14">
        <v>8246</v>
      </c>
      <c r="M38" s="14"/>
      <c r="N38" s="15">
        <v>70.8095</v>
      </c>
      <c r="O38" s="16">
        <f t="shared" si="6"/>
        <v>0.00176133550258184</v>
      </c>
      <c r="P38" s="15">
        <v>4.62</v>
      </c>
      <c r="Q38" s="15">
        <v>5.15</v>
      </c>
    </row>
    <row r="39" spans="1:17">
      <c r="A39" s="7">
        <v>43770</v>
      </c>
      <c r="B39" s="8">
        <f t="shared" si="0"/>
        <v>2019</v>
      </c>
      <c r="C39" s="8" t="s">
        <v>144</v>
      </c>
      <c r="D39" s="9">
        <v>25231</v>
      </c>
      <c r="E39" s="9">
        <v>-7970.3</v>
      </c>
      <c r="F39" s="10">
        <f t="shared" si="1"/>
        <v>17260.7</v>
      </c>
      <c r="G39" s="8" t="str">
        <f t="shared" si="2"/>
        <v>No</v>
      </c>
      <c r="H39" s="8" t="str">
        <f t="shared" si="3"/>
        <v>n/a</v>
      </c>
      <c r="I39" s="11" t="str">
        <f t="shared" si="4"/>
        <v/>
      </c>
      <c r="J39" s="12">
        <v>12056.05</v>
      </c>
      <c r="K39" s="16">
        <f t="shared" si="5"/>
        <v>0.0150368976505899</v>
      </c>
      <c r="L39" s="14">
        <v>8273</v>
      </c>
      <c r="M39" s="14"/>
      <c r="N39" s="15">
        <v>71.7255</v>
      </c>
      <c r="O39" s="16">
        <f t="shared" si="6"/>
        <v>0.0129361173288893</v>
      </c>
      <c r="P39" s="15">
        <v>5.54</v>
      </c>
      <c r="Q39" s="15">
        <v>5.15</v>
      </c>
    </row>
    <row r="40" spans="1:17">
      <c r="A40" s="7">
        <v>43800</v>
      </c>
      <c r="B40" s="8">
        <f t="shared" si="0"/>
        <v>2019</v>
      </c>
      <c r="C40" s="8" t="s">
        <v>144</v>
      </c>
      <c r="D40" s="9">
        <v>7338</v>
      </c>
      <c r="E40" s="9">
        <v>-740.8</v>
      </c>
      <c r="F40" s="10">
        <f t="shared" si="1"/>
        <v>6597.2</v>
      </c>
      <c r="G40" s="8" t="str">
        <f t="shared" si="2"/>
        <v>No</v>
      </c>
      <c r="H40" s="8" t="str">
        <f t="shared" si="3"/>
        <v>n/a</v>
      </c>
      <c r="I40" s="11" t="str">
        <f t="shared" si="4"/>
        <v/>
      </c>
      <c r="J40" s="12">
        <v>12168.45</v>
      </c>
      <c r="K40" s="16">
        <f t="shared" si="5"/>
        <v>0.00932311992733958</v>
      </c>
      <c r="L40" s="14">
        <v>8518</v>
      </c>
      <c r="M40" s="14">
        <v>805797.82</v>
      </c>
      <c r="N40" s="15">
        <v>71.274</v>
      </c>
      <c r="O40" s="16">
        <f t="shared" si="6"/>
        <v>-0.00629483238178885</v>
      </c>
      <c r="P40" s="15">
        <v>7.35</v>
      </c>
      <c r="Q40" s="15">
        <v>5.15</v>
      </c>
    </row>
    <row r="41" spans="1:17">
      <c r="A41" s="7">
        <v>43831</v>
      </c>
      <c r="B41" s="8">
        <f t="shared" si="0"/>
        <v>2020</v>
      </c>
      <c r="C41" s="8" t="s">
        <v>144</v>
      </c>
      <c r="D41" s="9">
        <v>12123</v>
      </c>
      <c r="E41" s="9">
        <v>1073.5</v>
      </c>
      <c r="F41" s="10">
        <f t="shared" si="1"/>
        <v>13196.5</v>
      </c>
      <c r="G41" s="8" t="str">
        <f t="shared" si="2"/>
        <v>No</v>
      </c>
      <c r="H41" s="8" t="str">
        <f t="shared" si="3"/>
        <v>n/a</v>
      </c>
      <c r="I41" s="11" t="str">
        <f t="shared" si="4"/>
        <v/>
      </c>
      <c r="J41" s="12">
        <v>11962.1</v>
      </c>
      <c r="K41" s="16">
        <f t="shared" si="5"/>
        <v>-0.0169577883789637</v>
      </c>
      <c r="L41" s="14">
        <v>8532</v>
      </c>
      <c r="M41" s="14"/>
      <c r="N41" s="15">
        <v>71.5096</v>
      </c>
      <c r="O41" s="16">
        <f t="shared" si="6"/>
        <v>0.00330555321716197</v>
      </c>
      <c r="P41" s="15">
        <v>7.59</v>
      </c>
      <c r="Q41" s="15">
        <v>5.15</v>
      </c>
    </row>
    <row r="42" spans="1:17">
      <c r="A42" s="7">
        <v>43862</v>
      </c>
      <c r="B42" s="8">
        <f t="shared" si="0"/>
        <v>2020</v>
      </c>
      <c r="C42" s="8" t="s">
        <v>144</v>
      </c>
      <c r="D42" s="9">
        <v>1820</v>
      </c>
      <c r="E42" s="9">
        <v>16933</v>
      </c>
      <c r="F42" s="10">
        <f t="shared" si="1"/>
        <v>18753</v>
      </c>
      <c r="G42" s="8" t="str">
        <f t="shared" si="2"/>
        <v>No</v>
      </c>
      <c r="H42" s="8" t="str">
        <f t="shared" si="3"/>
        <v>n/a</v>
      </c>
      <c r="I42" s="11" t="str">
        <f t="shared" si="4"/>
        <v/>
      </c>
      <c r="J42" s="12">
        <v>11201.75</v>
      </c>
      <c r="K42" s="16">
        <f t="shared" si="5"/>
        <v>-0.0635632539437055</v>
      </c>
      <c r="L42" s="14">
        <v>8513</v>
      </c>
      <c r="M42" s="14"/>
      <c r="N42" s="15">
        <v>72.1895</v>
      </c>
      <c r="O42" s="16">
        <f t="shared" si="6"/>
        <v>0.0095078143354177</v>
      </c>
      <c r="P42" s="15">
        <v>6.58</v>
      </c>
      <c r="Q42" s="15">
        <v>5.15</v>
      </c>
    </row>
    <row r="43" spans="1:17">
      <c r="A43" s="7">
        <v>43891</v>
      </c>
      <c r="B43" s="8">
        <f t="shared" si="0"/>
        <v>2020</v>
      </c>
      <c r="C43" s="8" t="s">
        <v>144</v>
      </c>
      <c r="D43" s="9">
        <v>-61973</v>
      </c>
      <c r="E43" s="9">
        <v>55595.2</v>
      </c>
      <c r="F43" s="10">
        <f t="shared" si="1"/>
        <v>-6377.8</v>
      </c>
      <c r="G43" s="8" t="str">
        <f t="shared" si="2"/>
        <v>Yes</v>
      </c>
      <c r="H43" s="8" t="str">
        <f t="shared" si="3"/>
        <v>No</v>
      </c>
      <c r="I43" s="11">
        <f t="shared" si="4"/>
        <v>0.897087441305084</v>
      </c>
      <c r="J43" s="12">
        <v>8597.75</v>
      </c>
      <c r="K43" s="16">
        <f t="shared" si="5"/>
        <v>-0.232463677550383</v>
      </c>
      <c r="L43" s="14">
        <v>8641</v>
      </c>
      <c r="M43" s="14">
        <v>604661.2</v>
      </c>
      <c r="N43" s="15">
        <v>75.3859</v>
      </c>
      <c r="O43" s="16">
        <f t="shared" si="6"/>
        <v>0.0442779074519148</v>
      </c>
      <c r="P43" s="15">
        <v>5.84</v>
      </c>
      <c r="Q43" s="15">
        <v>4.4</v>
      </c>
    </row>
    <row r="44" spans="1:17">
      <c r="A44" s="7">
        <v>43922</v>
      </c>
      <c r="B44" s="8">
        <f t="shared" si="0"/>
        <v>2020</v>
      </c>
      <c r="C44" s="8" t="s">
        <v>144</v>
      </c>
      <c r="D44" s="9">
        <v>-6884</v>
      </c>
      <c r="E44" s="9">
        <v>-117</v>
      </c>
      <c r="F44" s="10">
        <f t="shared" si="1"/>
        <v>-7001</v>
      </c>
      <c r="G44" s="8" t="str">
        <f t="shared" si="2"/>
        <v>Yes</v>
      </c>
      <c r="H44" s="8" t="str">
        <f t="shared" si="3"/>
        <v>No</v>
      </c>
      <c r="I44" s="11">
        <f t="shared" si="4"/>
        <v>-0.0169959325973271</v>
      </c>
      <c r="J44" s="12">
        <v>9859.9</v>
      </c>
      <c r="K44" s="16">
        <f t="shared" si="5"/>
        <v>0.14680003489285</v>
      </c>
      <c r="L44" s="14">
        <v>8376</v>
      </c>
      <c r="M44" s="14"/>
      <c r="N44" s="15">
        <v>75.115</v>
      </c>
      <c r="O44" s="16">
        <f t="shared" si="6"/>
        <v>-0.00359351019222443</v>
      </c>
      <c r="P44" s="15">
        <v>7.22</v>
      </c>
      <c r="Q44" s="15">
        <v>4.4</v>
      </c>
    </row>
    <row r="45" spans="1:17">
      <c r="A45" s="7">
        <v>43952</v>
      </c>
      <c r="B45" s="8">
        <f t="shared" si="0"/>
        <v>2020</v>
      </c>
      <c r="C45" s="8" t="s">
        <v>144</v>
      </c>
      <c r="D45" s="9">
        <v>14569</v>
      </c>
      <c r="E45" s="9">
        <v>12293.2</v>
      </c>
      <c r="F45" s="10">
        <f t="shared" si="1"/>
        <v>26862.2</v>
      </c>
      <c r="G45" s="8" t="str">
        <f t="shared" si="2"/>
        <v>No</v>
      </c>
      <c r="H45" s="8" t="str">
        <f t="shared" si="3"/>
        <v>n/a</v>
      </c>
      <c r="I45" s="11" t="str">
        <f t="shared" si="4"/>
        <v/>
      </c>
      <c r="J45" s="12">
        <v>9580.3</v>
      </c>
      <c r="K45" s="16">
        <f t="shared" si="5"/>
        <v>-0.0283572855708476</v>
      </c>
      <c r="L45" s="14">
        <v>8123</v>
      </c>
      <c r="M45" s="14"/>
      <c r="N45" s="15">
        <v>75.6369</v>
      </c>
      <c r="O45" s="16">
        <f t="shared" si="6"/>
        <v>0.00694801304666171</v>
      </c>
      <c r="P45" s="15">
        <v>6.27</v>
      </c>
      <c r="Q45" s="15">
        <v>4</v>
      </c>
    </row>
    <row r="46" spans="1:17">
      <c r="A46" s="7">
        <v>43983</v>
      </c>
      <c r="B46" s="8">
        <f t="shared" si="0"/>
        <v>2020</v>
      </c>
      <c r="C46" s="8" t="s">
        <v>144</v>
      </c>
      <c r="D46" s="9">
        <v>21832</v>
      </c>
      <c r="E46" s="9">
        <v>2434.4</v>
      </c>
      <c r="F46" s="10">
        <f t="shared" si="1"/>
        <v>24266.4</v>
      </c>
      <c r="G46" s="8" t="str">
        <f t="shared" si="2"/>
        <v>No</v>
      </c>
      <c r="H46" s="8" t="str">
        <f t="shared" si="3"/>
        <v>n/a</v>
      </c>
      <c r="I46" s="11" t="str">
        <f t="shared" si="4"/>
        <v/>
      </c>
      <c r="J46" s="12">
        <v>10302.1</v>
      </c>
      <c r="K46" s="16">
        <f t="shared" si="5"/>
        <v>0.0753421082847094</v>
      </c>
      <c r="L46" s="14">
        <v>7917</v>
      </c>
      <c r="M46" s="14">
        <v>729833.88</v>
      </c>
      <c r="N46" s="15">
        <v>75.527</v>
      </c>
      <c r="O46" s="16">
        <f t="shared" si="6"/>
        <v>-0.00145299450400527</v>
      </c>
      <c r="P46" s="15">
        <v>6.09</v>
      </c>
      <c r="Q46" s="15">
        <v>4</v>
      </c>
    </row>
    <row r="47" spans="1:17">
      <c r="A47" s="7">
        <v>44013</v>
      </c>
      <c r="B47" s="8">
        <f t="shared" si="0"/>
        <v>2020</v>
      </c>
      <c r="C47" s="8" t="s">
        <v>144</v>
      </c>
      <c r="D47" s="9">
        <v>7563</v>
      </c>
      <c r="E47" s="9">
        <v>-10007.9</v>
      </c>
      <c r="F47" s="10">
        <f t="shared" si="1"/>
        <v>-2444.9</v>
      </c>
      <c r="G47" s="8" t="str">
        <f t="shared" si="2"/>
        <v>No</v>
      </c>
      <c r="H47" s="8" t="str">
        <f t="shared" si="3"/>
        <v>n/a</v>
      </c>
      <c r="I47" s="11" t="str">
        <f t="shared" si="4"/>
        <v/>
      </c>
      <c r="J47" s="12">
        <v>11073.45</v>
      </c>
      <c r="K47" s="16">
        <f t="shared" si="5"/>
        <v>0.0748730841284786</v>
      </c>
      <c r="L47" s="14">
        <v>7831</v>
      </c>
      <c r="M47" s="14"/>
      <c r="N47" s="15">
        <v>74.7722</v>
      </c>
      <c r="O47" s="16">
        <f t="shared" si="6"/>
        <v>-0.00999377705985938</v>
      </c>
      <c r="P47" s="15">
        <v>6.73</v>
      </c>
      <c r="Q47" s="15">
        <v>4</v>
      </c>
    </row>
    <row r="48" spans="1:17">
      <c r="A48" s="7">
        <v>44044</v>
      </c>
      <c r="B48" s="8">
        <f t="shared" si="0"/>
        <v>2020</v>
      </c>
      <c r="C48" s="8" t="s">
        <v>144</v>
      </c>
      <c r="D48" s="9">
        <v>47080</v>
      </c>
      <c r="E48" s="9">
        <v>-11046.8</v>
      </c>
      <c r="F48" s="10">
        <f t="shared" si="1"/>
        <v>36033.2</v>
      </c>
      <c r="G48" s="8" t="str">
        <f t="shared" si="2"/>
        <v>No</v>
      </c>
      <c r="H48" s="8" t="str">
        <f t="shared" si="3"/>
        <v>n/a</v>
      </c>
      <c r="I48" s="11" t="str">
        <f t="shared" si="4"/>
        <v/>
      </c>
      <c r="J48" s="12">
        <v>11387.5</v>
      </c>
      <c r="K48" s="16">
        <f t="shared" si="5"/>
        <v>0.0283606283497915</v>
      </c>
      <c r="L48" s="14">
        <v>7792</v>
      </c>
      <c r="M48" s="14"/>
      <c r="N48" s="15">
        <v>73.5951</v>
      </c>
      <c r="O48" s="16">
        <f t="shared" si="6"/>
        <v>-0.0157424818314827</v>
      </c>
      <c r="P48" s="15">
        <v>6.69</v>
      </c>
      <c r="Q48" s="15">
        <v>4</v>
      </c>
    </row>
    <row r="49" spans="1:17">
      <c r="A49" s="7">
        <v>44075</v>
      </c>
      <c r="B49" s="8">
        <f t="shared" si="0"/>
        <v>2020</v>
      </c>
      <c r="C49" s="8" t="s">
        <v>144</v>
      </c>
      <c r="D49" s="9">
        <v>-7783</v>
      </c>
      <c r="E49" s="9">
        <v>110.3</v>
      </c>
      <c r="F49" s="10">
        <f t="shared" si="1"/>
        <v>-7672.7</v>
      </c>
      <c r="G49" s="8" t="str">
        <f t="shared" si="2"/>
        <v>Yes</v>
      </c>
      <c r="H49" s="8" t="str">
        <f t="shared" si="3"/>
        <v>No</v>
      </c>
      <c r="I49" s="11">
        <f t="shared" si="4"/>
        <v>0.0141719131440319</v>
      </c>
      <c r="J49" s="12">
        <v>11247.55</v>
      </c>
      <c r="K49" s="16">
        <f t="shared" si="5"/>
        <v>-0.0122897914379803</v>
      </c>
      <c r="L49" s="14">
        <v>7788</v>
      </c>
      <c r="M49" s="14">
        <v>793660.29</v>
      </c>
      <c r="N49" s="15">
        <v>73.7978</v>
      </c>
      <c r="O49" s="16">
        <f t="shared" si="6"/>
        <v>0.00275425945477337</v>
      </c>
      <c r="P49" s="15">
        <v>7.27</v>
      </c>
      <c r="Q49" s="15">
        <v>4</v>
      </c>
    </row>
    <row r="50" spans="1:17">
      <c r="A50" s="7">
        <v>44105</v>
      </c>
      <c r="B50" s="8">
        <f t="shared" si="0"/>
        <v>2020</v>
      </c>
      <c r="C50" s="8" t="s">
        <v>144</v>
      </c>
      <c r="D50" s="9">
        <v>19541</v>
      </c>
      <c r="E50" s="9">
        <v>-17318.4</v>
      </c>
      <c r="F50" s="10">
        <f t="shared" si="1"/>
        <v>2222.6</v>
      </c>
      <c r="G50" s="8" t="str">
        <f t="shared" si="2"/>
        <v>No</v>
      </c>
      <c r="H50" s="8" t="str">
        <f t="shared" si="3"/>
        <v>n/a</v>
      </c>
      <c r="I50" s="11" t="str">
        <f t="shared" si="4"/>
        <v/>
      </c>
      <c r="J50" s="12">
        <v>11642.4</v>
      </c>
      <c r="K50" s="16">
        <f t="shared" si="5"/>
        <v>0.0351054229587777</v>
      </c>
      <c r="L50" s="14">
        <v>7800</v>
      </c>
      <c r="M50" s="14"/>
      <c r="N50" s="15">
        <v>73.9732</v>
      </c>
      <c r="O50" s="16">
        <f t="shared" si="6"/>
        <v>0.00237676461899961</v>
      </c>
      <c r="P50" s="15">
        <v>7.61</v>
      </c>
      <c r="Q50" s="15">
        <v>4</v>
      </c>
    </row>
    <row r="51" spans="1:17">
      <c r="A51" s="7">
        <v>44136</v>
      </c>
      <c r="B51" s="8">
        <f t="shared" si="0"/>
        <v>2020</v>
      </c>
      <c r="C51" s="8" t="s">
        <v>144</v>
      </c>
      <c r="D51" s="9">
        <v>60358</v>
      </c>
      <c r="E51" s="9">
        <v>-48319.2</v>
      </c>
      <c r="F51" s="10">
        <f t="shared" si="1"/>
        <v>12038.8</v>
      </c>
      <c r="G51" s="8" t="str">
        <f t="shared" si="2"/>
        <v>No</v>
      </c>
      <c r="H51" s="8" t="str">
        <f t="shared" si="3"/>
        <v>n/a</v>
      </c>
      <c r="I51" s="11" t="str">
        <f t="shared" si="4"/>
        <v/>
      </c>
      <c r="J51" s="12">
        <v>12968.95</v>
      </c>
      <c r="K51" s="16">
        <f t="shared" si="5"/>
        <v>0.113941283584141</v>
      </c>
      <c r="L51" s="14">
        <v>7302</v>
      </c>
      <c r="M51" s="14"/>
      <c r="N51" s="15">
        <v>73.7983</v>
      </c>
      <c r="O51" s="16">
        <f t="shared" si="6"/>
        <v>-0.00236436979879207</v>
      </c>
      <c r="P51" s="15">
        <v>6.93</v>
      </c>
      <c r="Q51" s="15">
        <v>4</v>
      </c>
    </row>
    <row r="52" spans="1:17">
      <c r="A52" s="7">
        <v>44166</v>
      </c>
      <c r="B52" s="8">
        <f t="shared" si="0"/>
        <v>2020</v>
      </c>
      <c r="C52" s="8" t="s">
        <v>144</v>
      </c>
      <c r="D52" s="9">
        <v>62016</v>
      </c>
      <c r="E52" s="9">
        <v>-37293.5</v>
      </c>
      <c r="F52" s="10">
        <f t="shared" si="1"/>
        <v>24722.5</v>
      </c>
      <c r="G52" s="8" t="str">
        <f t="shared" si="2"/>
        <v>No</v>
      </c>
      <c r="H52" s="8" t="str">
        <f t="shared" si="3"/>
        <v>n/a</v>
      </c>
      <c r="I52" s="11" t="str">
        <f t="shared" si="4"/>
        <v/>
      </c>
      <c r="J52" s="12">
        <v>13981.75</v>
      </c>
      <c r="K52" s="16">
        <f t="shared" si="5"/>
        <v>0.0780942173421904</v>
      </c>
      <c r="L52" s="14">
        <v>8418</v>
      </c>
      <c r="M52" s="14">
        <v>937713.45</v>
      </c>
      <c r="N52" s="15">
        <v>73.0536</v>
      </c>
      <c r="O52" s="16">
        <f t="shared" si="6"/>
        <v>-0.0100910183567914</v>
      </c>
      <c r="P52" s="15">
        <v>4.59</v>
      </c>
      <c r="Q52" s="15">
        <v>4</v>
      </c>
    </row>
    <row r="53" spans="1:17">
      <c r="A53" s="7">
        <v>44197</v>
      </c>
      <c r="B53" s="8">
        <f t="shared" si="0"/>
        <v>2021</v>
      </c>
      <c r="C53" s="8" t="s">
        <v>144</v>
      </c>
      <c r="D53" s="9">
        <v>19473</v>
      </c>
      <c r="E53" s="9">
        <v>-11970.5</v>
      </c>
      <c r="F53" s="10">
        <f t="shared" si="1"/>
        <v>7502.5</v>
      </c>
      <c r="G53" s="8" t="str">
        <f t="shared" si="2"/>
        <v>No</v>
      </c>
      <c r="H53" s="8" t="str">
        <f t="shared" si="3"/>
        <v>n/a</v>
      </c>
      <c r="I53" s="11" t="str">
        <f t="shared" si="4"/>
        <v/>
      </c>
      <c r="J53" s="12">
        <v>13634.6</v>
      </c>
      <c r="K53" s="16">
        <f t="shared" si="5"/>
        <v>-0.0248287946787776</v>
      </c>
      <c r="L53" s="14">
        <v>8023</v>
      </c>
      <c r="M53" s="14"/>
      <c r="N53" s="15">
        <v>72.9519</v>
      </c>
      <c r="O53" s="16">
        <f t="shared" si="6"/>
        <v>-0.0013921285193339</v>
      </c>
      <c r="P53" s="15">
        <v>4.06</v>
      </c>
      <c r="Q53" s="15">
        <v>4</v>
      </c>
    </row>
    <row r="54" spans="1:17">
      <c r="A54" s="7">
        <v>44228</v>
      </c>
      <c r="B54" s="8">
        <f t="shared" si="0"/>
        <v>2021</v>
      </c>
      <c r="C54" s="8" t="s">
        <v>144</v>
      </c>
      <c r="D54" s="9">
        <v>25787</v>
      </c>
      <c r="E54" s="9">
        <v>-16358.1</v>
      </c>
      <c r="F54" s="10">
        <f t="shared" si="1"/>
        <v>9428.9</v>
      </c>
      <c r="G54" s="8" t="str">
        <f t="shared" si="2"/>
        <v>No</v>
      </c>
      <c r="H54" s="8" t="str">
        <f t="shared" si="3"/>
        <v>n/a</v>
      </c>
      <c r="I54" s="11" t="str">
        <f t="shared" si="4"/>
        <v/>
      </c>
      <c r="J54" s="12">
        <v>14529.15</v>
      </c>
      <c r="K54" s="16">
        <f t="shared" si="5"/>
        <v>0.065608818740557</v>
      </c>
      <c r="L54" s="14">
        <v>7528</v>
      </c>
      <c r="M54" s="14"/>
      <c r="N54" s="15">
        <v>73.0408</v>
      </c>
      <c r="O54" s="16">
        <f t="shared" si="6"/>
        <v>0.00121861116708422</v>
      </c>
      <c r="P54" s="15">
        <v>5.03</v>
      </c>
      <c r="Q54" s="15">
        <v>4</v>
      </c>
    </row>
    <row r="55" spans="1:17">
      <c r="A55" s="7">
        <v>44256</v>
      </c>
      <c r="B55" s="8">
        <f t="shared" si="0"/>
        <v>2021</v>
      </c>
      <c r="C55" s="8" t="s">
        <v>144</v>
      </c>
      <c r="D55" s="9">
        <v>10482</v>
      </c>
      <c r="E55" s="9">
        <v>5204.4</v>
      </c>
      <c r="F55" s="10">
        <f t="shared" si="1"/>
        <v>15686.4</v>
      </c>
      <c r="G55" s="8" t="str">
        <f t="shared" si="2"/>
        <v>No</v>
      </c>
      <c r="H55" s="8" t="str">
        <f t="shared" si="3"/>
        <v>n/a</v>
      </c>
      <c r="I55" s="11" t="str">
        <f t="shared" si="4"/>
        <v/>
      </c>
      <c r="J55" s="12">
        <v>14690.7</v>
      </c>
      <c r="K55" s="16">
        <f t="shared" si="5"/>
        <v>0.0111190262334686</v>
      </c>
      <c r="L55" s="14">
        <v>9182</v>
      </c>
      <c r="M55" s="14">
        <v>1002158.74</v>
      </c>
      <c r="N55" s="15">
        <v>73.5047</v>
      </c>
      <c r="O55" s="16">
        <f t="shared" si="6"/>
        <v>0.00635124478373728</v>
      </c>
      <c r="P55" s="15">
        <v>5.52</v>
      </c>
      <c r="Q55" s="15">
        <v>4</v>
      </c>
    </row>
    <row r="56" spans="1:17">
      <c r="A56" s="7">
        <v>44287</v>
      </c>
      <c r="B56" s="8">
        <f t="shared" si="0"/>
        <v>2021</v>
      </c>
      <c r="C56" s="8" t="s">
        <v>144</v>
      </c>
      <c r="D56" s="9">
        <v>-9659</v>
      </c>
      <c r="E56" s="9">
        <v>11088.6</v>
      </c>
      <c r="F56" s="10">
        <f t="shared" si="1"/>
        <v>1429.6</v>
      </c>
      <c r="G56" s="8" t="str">
        <f t="shared" si="2"/>
        <v>Yes</v>
      </c>
      <c r="H56" s="8" t="str">
        <f t="shared" si="3"/>
        <v>Yes</v>
      </c>
      <c r="I56" s="11">
        <f t="shared" si="4"/>
        <v>1.14800704006626</v>
      </c>
      <c r="J56" s="12">
        <v>14631.1</v>
      </c>
      <c r="K56" s="16">
        <f t="shared" si="5"/>
        <v>-0.00405698843486013</v>
      </c>
      <c r="L56" s="14">
        <v>8596</v>
      </c>
      <c r="M56" s="14"/>
      <c r="N56" s="15">
        <v>74.0232</v>
      </c>
      <c r="O56" s="16">
        <f t="shared" si="6"/>
        <v>0.00705397069847247</v>
      </c>
      <c r="P56" s="15">
        <v>4.23</v>
      </c>
      <c r="Q56" s="15">
        <v>4</v>
      </c>
    </row>
    <row r="57" spans="1:17">
      <c r="A57" s="7">
        <v>44317</v>
      </c>
      <c r="B57" s="8">
        <f t="shared" si="0"/>
        <v>2021</v>
      </c>
      <c r="C57" s="8" t="s">
        <v>144</v>
      </c>
      <c r="D57" s="9">
        <v>-2954</v>
      </c>
      <c r="E57" s="9">
        <v>2067.2</v>
      </c>
      <c r="F57" s="10">
        <f t="shared" si="1"/>
        <v>-886.8</v>
      </c>
      <c r="G57" s="8" t="str">
        <f t="shared" si="2"/>
        <v>Yes</v>
      </c>
      <c r="H57" s="8" t="str">
        <f t="shared" si="3"/>
        <v>No</v>
      </c>
      <c r="I57" s="11">
        <f t="shared" si="4"/>
        <v>0.699796885578876</v>
      </c>
      <c r="J57" s="12">
        <v>15582.8</v>
      </c>
      <c r="K57" s="16">
        <f t="shared" si="5"/>
        <v>0.0650463738201501</v>
      </c>
      <c r="L57" s="14">
        <v>8819</v>
      </c>
      <c r="M57" s="14"/>
      <c r="N57" s="15">
        <v>72.5211</v>
      </c>
      <c r="O57" s="16">
        <f t="shared" si="6"/>
        <v>-0.0202922867425348</v>
      </c>
      <c r="P57" s="15">
        <v>6.3</v>
      </c>
      <c r="Q57" s="15">
        <v>4</v>
      </c>
    </row>
    <row r="58" spans="1:17">
      <c r="A58" s="7">
        <v>44348</v>
      </c>
      <c r="B58" s="8">
        <f t="shared" si="0"/>
        <v>2021</v>
      </c>
      <c r="C58" s="8" t="s">
        <v>144</v>
      </c>
      <c r="D58" s="9">
        <v>17215</v>
      </c>
      <c r="E58" s="9">
        <v>7043.5</v>
      </c>
      <c r="F58" s="10">
        <f t="shared" si="1"/>
        <v>24258.5</v>
      </c>
      <c r="G58" s="8" t="str">
        <f t="shared" si="2"/>
        <v>No</v>
      </c>
      <c r="H58" s="8" t="str">
        <f t="shared" si="3"/>
        <v>n/a</v>
      </c>
      <c r="I58" s="11" t="str">
        <f t="shared" si="4"/>
        <v/>
      </c>
      <c r="J58" s="12">
        <v>15721.5</v>
      </c>
      <c r="K58" s="16">
        <f t="shared" si="5"/>
        <v>0.00890083938701647</v>
      </c>
      <c r="L58" s="14">
        <v>9156</v>
      </c>
      <c r="M58" s="14">
        <v>1130457.73</v>
      </c>
      <c r="N58" s="15">
        <v>74.3456</v>
      </c>
      <c r="O58" s="16">
        <f t="shared" si="6"/>
        <v>0.0251581953390116</v>
      </c>
      <c r="P58" s="15">
        <v>6.26</v>
      </c>
      <c r="Q58" s="15">
        <v>4</v>
      </c>
    </row>
    <row r="59" spans="1:17">
      <c r="A59" s="7">
        <v>44378</v>
      </c>
      <c r="B59" s="8">
        <f t="shared" si="0"/>
        <v>2021</v>
      </c>
      <c r="C59" s="8" t="s">
        <v>144</v>
      </c>
      <c r="D59" s="9">
        <v>-11308</v>
      </c>
      <c r="E59" s="9">
        <v>18893.9</v>
      </c>
      <c r="F59" s="10">
        <f t="shared" si="1"/>
        <v>7585.9</v>
      </c>
      <c r="G59" s="8" t="str">
        <f t="shared" si="2"/>
        <v>Yes</v>
      </c>
      <c r="H59" s="8" t="str">
        <f t="shared" si="3"/>
        <v>Yes</v>
      </c>
      <c r="I59" s="11">
        <f t="shared" si="4"/>
        <v>1.67084365051291</v>
      </c>
      <c r="J59" s="12">
        <v>15763.05</v>
      </c>
      <c r="K59" s="16">
        <f t="shared" si="5"/>
        <v>0.00264287758801629</v>
      </c>
      <c r="L59" s="14">
        <v>9609</v>
      </c>
      <c r="M59" s="14"/>
      <c r="N59" s="15">
        <v>74.3871</v>
      </c>
      <c r="O59" s="16">
        <f t="shared" si="6"/>
        <v>0.000558203847974781</v>
      </c>
      <c r="P59" s="15">
        <v>5.59</v>
      </c>
      <c r="Q59" s="15">
        <v>4</v>
      </c>
    </row>
    <row r="60" spans="1:17">
      <c r="A60" s="7">
        <v>44409</v>
      </c>
      <c r="B60" s="8">
        <f t="shared" si="0"/>
        <v>2021</v>
      </c>
      <c r="C60" s="8" t="s">
        <v>144</v>
      </c>
      <c r="D60" s="9">
        <v>2083</v>
      </c>
      <c r="E60" s="9">
        <v>6894.7</v>
      </c>
      <c r="F60" s="10">
        <f t="shared" si="1"/>
        <v>8977.7</v>
      </c>
      <c r="G60" s="8" t="str">
        <f t="shared" si="2"/>
        <v>No</v>
      </c>
      <c r="H60" s="8" t="str">
        <f t="shared" si="3"/>
        <v>n/a</v>
      </c>
      <c r="I60" s="11" t="str">
        <f t="shared" si="4"/>
        <v/>
      </c>
      <c r="J60" s="12">
        <v>17132.2</v>
      </c>
      <c r="K60" s="16">
        <f t="shared" si="5"/>
        <v>0.0868581905151606</v>
      </c>
      <c r="L60" s="14">
        <v>9923</v>
      </c>
      <c r="M60" s="14"/>
      <c r="N60" s="15">
        <v>73.1536</v>
      </c>
      <c r="O60" s="16">
        <f t="shared" si="6"/>
        <v>-0.0165821762106603</v>
      </c>
      <c r="P60" s="15">
        <v>5.3</v>
      </c>
      <c r="Q60" s="15">
        <v>4</v>
      </c>
    </row>
    <row r="61" spans="1:17">
      <c r="A61" s="7">
        <v>44440</v>
      </c>
      <c r="B61" s="8">
        <f t="shared" si="0"/>
        <v>2021</v>
      </c>
      <c r="C61" s="8" t="s">
        <v>144</v>
      </c>
      <c r="D61" s="9">
        <v>13154</v>
      </c>
      <c r="E61" s="9">
        <v>5948.8</v>
      </c>
      <c r="F61" s="10">
        <f t="shared" si="1"/>
        <v>19102.8</v>
      </c>
      <c r="G61" s="8" t="str">
        <f t="shared" si="2"/>
        <v>No</v>
      </c>
      <c r="H61" s="8" t="str">
        <f t="shared" si="3"/>
        <v>n/a</v>
      </c>
      <c r="I61" s="11" t="str">
        <f t="shared" si="4"/>
        <v/>
      </c>
      <c r="J61" s="12">
        <v>17618.15</v>
      </c>
      <c r="K61" s="16">
        <f t="shared" si="5"/>
        <v>0.0283647167322352</v>
      </c>
      <c r="L61" s="14">
        <v>10351</v>
      </c>
      <c r="M61" s="14">
        <v>1295883.99</v>
      </c>
      <c r="N61" s="15">
        <v>74.2551</v>
      </c>
      <c r="O61" s="16">
        <f t="shared" si="6"/>
        <v>0.0150573587629317</v>
      </c>
      <c r="P61" s="15">
        <v>4.35</v>
      </c>
      <c r="Q61" s="15">
        <v>4</v>
      </c>
    </row>
    <row r="62" spans="1:17">
      <c r="A62" s="7">
        <v>44470</v>
      </c>
      <c r="B62" s="8">
        <f t="shared" si="0"/>
        <v>2021</v>
      </c>
      <c r="C62" s="8" t="s">
        <v>144</v>
      </c>
      <c r="D62" s="9">
        <v>-13550</v>
      </c>
      <c r="E62" s="9">
        <v>4471</v>
      </c>
      <c r="F62" s="10">
        <f t="shared" si="1"/>
        <v>-9079</v>
      </c>
      <c r="G62" s="8" t="str">
        <f t="shared" si="2"/>
        <v>Yes</v>
      </c>
      <c r="H62" s="8" t="str">
        <f t="shared" si="3"/>
        <v>No</v>
      </c>
      <c r="I62" s="11">
        <f t="shared" si="4"/>
        <v>0.329963099630996</v>
      </c>
      <c r="J62" s="12">
        <v>17671.65</v>
      </c>
      <c r="K62" s="16">
        <f t="shared" si="5"/>
        <v>0.00303664119104452</v>
      </c>
      <c r="L62" s="14">
        <v>10519</v>
      </c>
      <c r="M62" s="14"/>
      <c r="N62" s="15">
        <v>74.7858</v>
      </c>
      <c r="O62" s="16">
        <f t="shared" si="6"/>
        <v>0.00714698384353385</v>
      </c>
      <c r="P62" s="15">
        <v>4.48</v>
      </c>
      <c r="Q62" s="15">
        <v>4</v>
      </c>
    </row>
    <row r="63" spans="1:17">
      <c r="A63" s="7">
        <v>44501</v>
      </c>
      <c r="B63" s="8">
        <f t="shared" si="0"/>
        <v>2021</v>
      </c>
      <c r="C63" s="8" t="s">
        <v>144</v>
      </c>
      <c r="D63" s="9">
        <v>-5945</v>
      </c>
      <c r="E63" s="9">
        <v>30560.3</v>
      </c>
      <c r="F63" s="10">
        <f t="shared" si="1"/>
        <v>24615.3</v>
      </c>
      <c r="G63" s="8" t="str">
        <f t="shared" si="2"/>
        <v>Yes</v>
      </c>
      <c r="H63" s="8" t="str">
        <f t="shared" si="3"/>
        <v>Yes</v>
      </c>
      <c r="I63" s="11">
        <f t="shared" si="4"/>
        <v>5.14050462573591</v>
      </c>
      <c r="J63" s="12">
        <v>16983.2</v>
      </c>
      <c r="K63" s="16">
        <f t="shared" si="5"/>
        <v>-0.0389578788624718</v>
      </c>
      <c r="L63" s="14">
        <v>11005</v>
      </c>
      <c r="M63" s="14"/>
      <c r="N63" s="15">
        <v>75.0885</v>
      </c>
      <c r="O63" s="16">
        <f t="shared" si="6"/>
        <v>0.0040475598308769</v>
      </c>
      <c r="P63" s="15">
        <v>4.91</v>
      </c>
      <c r="Q63" s="15">
        <v>4</v>
      </c>
    </row>
    <row r="64" spans="1:17">
      <c r="A64" s="7">
        <v>44531</v>
      </c>
      <c r="B64" s="8">
        <f t="shared" si="0"/>
        <v>2021</v>
      </c>
      <c r="C64" s="8" t="s">
        <v>144</v>
      </c>
      <c r="D64" s="9">
        <v>-19026</v>
      </c>
      <c r="E64" s="9">
        <v>31231</v>
      </c>
      <c r="F64" s="10">
        <f t="shared" si="1"/>
        <v>12205</v>
      </c>
      <c r="G64" s="8" t="str">
        <f t="shared" si="2"/>
        <v>Yes</v>
      </c>
      <c r="H64" s="8" t="str">
        <f t="shared" si="3"/>
        <v>Yes</v>
      </c>
      <c r="I64" s="11">
        <f t="shared" si="4"/>
        <v>1.64149059182172</v>
      </c>
      <c r="J64" s="12">
        <v>17354.05</v>
      </c>
      <c r="K64" s="16">
        <f t="shared" si="5"/>
        <v>0.0218362852701492</v>
      </c>
      <c r="L64" s="14">
        <v>11305</v>
      </c>
      <c r="M64" s="14">
        <v>1346294.84</v>
      </c>
      <c r="N64" s="15">
        <v>74.3025</v>
      </c>
      <c r="O64" s="16">
        <f t="shared" si="6"/>
        <v>-0.0104676481751533</v>
      </c>
      <c r="P64" s="15">
        <v>5.66</v>
      </c>
      <c r="Q64" s="15">
        <v>4</v>
      </c>
    </row>
    <row r="65" spans="1:17">
      <c r="A65" s="7">
        <v>44562</v>
      </c>
      <c r="B65" s="8">
        <f t="shared" si="0"/>
        <v>2022</v>
      </c>
      <c r="C65" s="8" t="s">
        <v>144</v>
      </c>
      <c r="D65" s="9">
        <v>-33303</v>
      </c>
      <c r="E65" s="9">
        <v>21928.4</v>
      </c>
      <c r="F65" s="10">
        <f t="shared" si="1"/>
        <v>-11374.6</v>
      </c>
      <c r="G65" s="8" t="str">
        <f t="shared" si="2"/>
        <v>Yes</v>
      </c>
      <c r="H65" s="8" t="str">
        <f t="shared" si="3"/>
        <v>No</v>
      </c>
      <c r="I65" s="11">
        <f t="shared" si="4"/>
        <v>0.658451190583431</v>
      </c>
      <c r="J65" s="12">
        <v>17339.85</v>
      </c>
      <c r="K65" s="16">
        <f t="shared" si="5"/>
        <v>-0.000818252799778763</v>
      </c>
      <c r="L65" s="14">
        <v>11517</v>
      </c>
      <c r="M65" s="14"/>
      <c r="N65" s="15">
        <v>74.9674</v>
      </c>
      <c r="O65" s="16">
        <f t="shared" si="6"/>
        <v>0.00894855489384616</v>
      </c>
      <c r="P65" s="15">
        <v>6.01</v>
      </c>
      <c r="Q65" s="15">
        <v>4</v>
      </c>
    </row>
    <row r="66" spans="1:17">
      <c r="A66" s="7">
        <v>44593</v>
      </c>
      <c r="B66" s="8">
        <f t="shared" si="0"/>
        <v>2022</v>
      </c>
      <c r="C66" s="8" t="s">
        <v>144</v>
      </c>
      <c r="D66" s="9">
        <v>-35592</v>
      </c>
      <c r="E66" s="9">
        <v>42084.1</v>
      </c>
      <c r="F66" s="10">
        <f t="shared" si="1"/>
        <v>6492.1</v>
      </c>
      <c r="G66" s="8" t="str">
        <f t="shared" si="2"/>
        <v>Yes</v>
      </c>
      <c r="H66" s="8" t="str">
        <f t="shared" si="3"/>
        <v>Yes</v>
      </c>
      <c r="I66" s="11">
        <f t="shared" si="4"/>
        <v>1.18240334906721</v>
      </c>
      <c r="J66" s="12">
        <v>16793.9</v>
      </c>
      <c r="K66" s="16">
        <f t="shared" si="5"/>
        <v>-0.0314852781310102</v>
      </c>
      <c r="L66" s="14">
        <v>11438</v>
      </c>
      <c r="M66" s="14"/>
      <c r="N66" s="15">
        <v>75.4882</v>
      </c>
      <c r="O66" s="16">
        <f t="shared" si="6"/>
        <v>0.00694701963786937</v>
      </c>
      <c r="P66" s="15">
        <v>6.07</v>
      </c>
      <c r="Q66" s="15">
        <v>4</v>
      </c>
    </row>
    <row r="67" spans="1:17">
      <c r="A67" s="7">
        <v>44621</v>
      </c>
      <c r="B67" s="8">
        <f t="shared" si="0"/>
        <v>2022</v>
      </c>
      <c r="C67" s="8" t="s">
        <v>144</v>
      </c>
      <c r="D67" s="9">
        <v>-41123</v>
      </c>
      <c r="E67" s="9">
        <v>39677</v>
      </c>
      <c r="F67" s="10">
        <f t="shared" si="1"/>
        <v>-1446</v>
      </c>
      <c r="G67" s="8" t="str">
        <f t="shared" si="2"/>
        <v>Yes</v>
      </c>
      <c r="H67" s="8" t="str">
        <f t="shared" si="3"/>
        <v>No</v>
      </c>
      <c r="I67" s="11">
        <f t="shared" si="4"/>
        <v>0.964837195729883</v>
      </c>
      <c r="J67" s="12">
        <v>17464.75</v>
      </c>
      <c r="K67" s="16">
        <f t="shared" si="5"/>
        <v>0.0399460518402515</v>
      </c>
      <c r="L67" s="14">
        <v>12328</v>
      </c>
      <c r="M67" s="14">
        <v>1373728.56</v>
      </c>
      <c r="N67" s="15">
        <v>75.8071</v>
      </c>
      <c r="O67" s="16">
        <f t="shared" si="6"/>
        <v>0.00422450131278795</v>
      </c>
      <c r="P67" s="15">
        <v>6.95</v>
      </c>
      <c r="Q67" s="15">
        <v>4</v>
      </c>
    </row>
    <row r="68" spans="1:17">
      <c r="A68" s="7">
        <v>44652</v>
      </c>
      <c r="B68" s="8">
        <f t="shared" si="0"/>
        <v>2022</v>
      </c>
      <c r="C68" s="8" t="s">
        <v>144</v>
      </c>
      <c r="D68" s="9">
        <v>-17144</v>
      </c>
      <c r="E68" s="9">
        <v>30842.5</v>
      </c>
      <c r="F68" s="10">
        <f t="shared" si="1"/>
        <v>13698.5</v>
      </c>
      <c r="G68" s="8" t="str">
        <f t="shared" si="2"/>
        <v>Yes</v>
      </c>
      <c r="H68" s="8" t="str">
        <f t="shared" si="3"/>
        <v>Yes</v>
      </c>
      <c r="I68" s="11">
        <f t="shared" si="4"/>
        <v>1.79902589827345</v>
      </c>
      <c r="J68" s="12">
        <v>17102.55</v>
      </c>
      <c r="K68" s="16">
        <f t="shared" si="5"/>
        <v>-0.0207389169613078</v>
      </c>
      <c r="L68" s="14">
        <v>11863</v>
      </c>
      <c r="M68" s="14"/>
      <c r="N68" s="15">
        <v>76.4242</v>
      </c>
      <c r="O68" s="16">
        <f t="shared" si="6"/>
        <v>0.00814039845871939</v>
      </c>
      <c r="P68" s="15">
        <v>7.79</v>
      </c>
      <c r="Q68" s="15">
        <v>4</v>
      </c>
    </row>
    <row r="69" spans="1:17">
      <c r="A69" s="7">
        <v>44682</v>
      </c>
      <c r="B69" s="8">
        <f t="shared" ref="B69:B122" si="7">YEAR(A69)</f>
        <v>2022</v>
      </c>
      <c r="C69" s="8" t="s">
        <v>144</v>
      </c>
      <c r="D69" s="9">
        <v>-39993</v>
      </c>
      <c r="E69" s="9">
        <v>50835.5</v>
      </c>
      <c r="F69" s="10">
        <f t="shared" ref="F69:F122" si="8">D69+E69</f>
        <v>10842.5</v>
      </c>
      <c r="G69" s="8" t="str">
        <f t="shared" ref="G69:G122" si="9">IF(D69&lt;0,"Yes","No")</f>
        <v>Yes</v>
      </c>
      <c r="H69" s="8" t="str">
        <f t="shared" ref="H69:H122" si="10">IF(D69&lt;0,IF(E69&gt;=-D69,"Yes","No"),"n/a")</f>
        <v>Yes</v>
      </c>
      <c r="I69" s="11">
        <f t="shared" ref="I69:I122" si="11">IF(D69&lt;0,E69/-D69,"")</f>
        <v>1.27110994424024</v>
      </c>
      <c r="J69" s="12">
        <v>16584.55</v>
      </c>
      <c r="K69" s="16">
        <f t="shared" si="5"/>
        <v>-0.0302878810469783</v>
      </c>
      <c r="L69" s="14">
        <v>12286</v>
      </c>
      <c r="M69" s="14"/>
      <c r="N69" s="15">
        <v>77.6641</v>
      </c>
      <c r="O69" s="16">
        <f t="shared" si="6"/>
        <v>0.0162239186016995</v>
      </c>
      <c r="P69" s="15">
        <v>7.04</v>
      </c>
      <c r="Q69" s="15">
        <v>4.4</v>
      </c>
    </row>
    <row r="70" spans="1:17">
      <c r="A70" s="7">
        <v>44713</v>
      </c>
      <c r="B70" s="8">
        <f t="shared" si="7"/>
        <v>2022</v>
      </c>
      <c r="C70" s="8" t="s">
        <v>144</v>
      </c>
      <c r="D70" s="9">
        <v>-50203</v>
      </c>
      <c r="E70" s="9">
        <v>46599.2</v>
      </c>
      <c r="F70" s="10">
        <f t="shared" si="8"/>
        <v>-3603.8</v>
      </c>
      <c r="G70" s="8" t="str">
        <f t="shared" si="9"/>
        <v>Yes</v>
      </c>
      <c r="H70" s="8" t="str">
        <f t="shared" si="10"/>
        <v>No</v>
      </c>
      <c r="I70" s="11">
        <f t="shared" si="11"/>
        <v>0.928215445292114</v>
      </c>
      <c r="J70" s="12">
        <v>15780.25</v>
      </c>
      <c r="K70" s="16">
        <f t="shared" ref="K70:K122" si="12">J70/J69-1</f>
        <v>-0.0484969444452819</v>
      </c>
      <c r="L70" s="14">
        <v>12276</v>
      </c>
      <c r="M70" s="14"/>
      <c r="N70" s="15">
        <v>78.9421</v>
      </c>
      <c r="O70" s="16">
        <f t="shared" si="6"/>
        <v>0.0164554794300069</v>
      </c>
      <c r="P70" s="15">
        <v>7.01</v>
      </c>
      <c r="Q70" s="15">
        <v>4.9</v>
      </c>
    </row>
    <row r="71" spans="1:17">
      <c r="A71" s="7">
        <v>44743</v>
      </c>
      <c r="B71" s="8">
        <f t="shared" si="7"/>
        <v>2022</v>
      </c>
      <c r="C71" s="8" t="s">
        <v>144</v>
      </c>
      <c r="D71" s="9">
        <v>4989</v>
      </c>
      <c r="E71" s="9">
        <v>10546</v>
      </c>
      <c r="F71" s="10">
        <f t="shared" si="8"/>
        <v>15535</v>
      </c>
      <c r="G71" s="8" t="str">
        <f t="shared" si="9"/>
        <v>No</v>
      </c>
      <c r="H71" s="8" t="str">
        <f t="shared" si="10"/>
        <v>n/a</v>
      </c>
      <c r="I71" s="11" t="str">
        <f t="shared" si="11"/>
        <v/>
      </c>
      <c r="J71" s="12">
        <v>17158.25</v>
      </c>
      <c r="K71" s="16">
        <f t="shared" si="12"/>
        <v>0.087324345305049</v>
      </c>
      <c r="L71" s="14">
        <v>12140</v>
      </c>
      <c r="M71" s="14"/>
      <c r="N71" s="15">
        <v>79.4203</v>
      </c>
      <c r="O71" s="16">
        <f t="shared" si="6"/>
        <v>0.00605760424412316</v>
      </c>
      <c r="P71" s="15">
        <v>6.71</v>
      </c>
      <c r="Q71" s="15">
        <v>4.9</v>
      </c>
    </row>
    <row r="72" spans="1:17">
      <c r="A72" s="7">
        <v>44774</v>
      </c>
      <c r="B72" s="8">
        <f t="shared" si="7"/>
        <v>2022</v>
      </c>
      <c r="C72" s="8" t="s">
        <v>144</v>
      </c>
      <c r="D72" s="9">
        <v>51204</v>
      </c>
      <c r="E72" s="9">
        <v>-7068.6</v>
      </c>
      <c r="F72" s="10">
        <f t="shared" si="8"/>
        <v>44135.4</v>
      </c>
      <c r="G72" s="8" t="str">
        <f t="shared" si="9"/>
        <v>No</v>
      </c>
      <c r="H72" s="8" t="str">
        <f t="shared" si="10"/>
        <v>n/a</v>
      </c>
      <c r="I72" s="11" t="str">
        <f t="shared" si="11"/>
        <v/>
      </c>
      <c r="J72" s="12">
        <v>17759.3</v>
      </c>
      <c r="K72" s="16">
        <f t="shared" si="12"/>
        <v>0.0350297961621959</v>
      </c>
      <c r="L72" s="14">
        <v>12693</v>
      </c>
      <c r="M72" s="14"/>
      <c r="N72" s="15">
        <v>79.7194</v>
      </c>
      <c r="O72" s="16">
        <f t="shared" si="6"/>
        <v>0.00376603966492195</v>
      </c>
      <c r="P72" s="15">
        <v>7</v>
      </c>
      <c r="Q72" s="15">
        <v>5.4</v>
      </c>
    </row>
    <row r="73" spans="1:17">
      <c r="A73" s="7">
        <v>44805</v>
      </c>
      <c r="B73" s="8">
        <f t="shared" si="7"/>
        <v>2022</v>
      </c>
      <c r="C73" s="8" t="s">
        <v>144</v>
      </c>
      <c r="D73" s="9">
        <v>-7624</v>
      </c>
      <c r="E73" s="9">
        <v>14119.8</v>
      </c>
      <c r="F73" s="10">
        <f t="shared" si="8"/>
        <v>6495.8</v>
      </c>
      <c r="G73" s="8" t="str">
        <f t="shared" si="9"/>
        <v>Yes</v>
      </c>
      <c r="H73" s="8" t="str">
        <f t="shared" si="10"/>
        <v>Yes</v>
      </c>
      <c r="I73" s="11">
        <f t="shared" si="11"/>
        <v>1.85201993704092</v>
      </c>
      <c r="J73" s="12">
        <v>17094.35</v>
      </c>
      <c r="K73" s="16">
        <f t="shared" si="12"/>
        <v>-0.0374423541468414</v>
      </c>
      <c r="L73" s="14">
        <v>12976</v>
      </c>
      <c r="M73" s="14"/>
      <c r="N73" s="15">
        <v>81.5522</v>
      </c>
      <c r="O73" s="16">
        <f t="shared" si="6"/>
        <v>0.0229906396686379</v>
      </c>
      <c r="P73" s="15">
        <v>7.41</v>
      </c>
      <c r="Q73" s="15">
        <v>5.9</v>
      </c>
    </row>
    <row r="74" spans="1:17">
      <c r="A74" s="7">
        <v>44835</v>
      </c>
      <c r="B74" s="8">
        <f t="shared" si="7"/>
        <v>2022</v>
      </c>
      <c r="C74" s="8" t="s">
        <v>144</v>
      </c>
      <c r="D74" s="9">
        <v>-8</v>
      </c>
      <c r="E74" s="9">
        <v>9277</v>
      </c>
      <c r="F74" s="10">
        <f t="shared" si="8"/>
        <v>9269</v>
      </c>
      <c r="G74" s="8" t="str">
        <f t="shared" si="9"/>
        <v>Yes</v>
      </c>
      <c r="H74" s="8" t="str">
        <f t="shared" si="10"/>
        <v>Yes</v>
      </c>
      <c r="I74" s="11">
        <f t="shared" si="11"/>
        <v>1159.625</v>
      </c>
      <c r="J74" s="12">
        <v>18012.2</v>
      </c>
      <c r="K74" s="16">
        <f t="shared" si="12"/>
        <v>0.0536931793253328</v>
      </c>
      <c r="L74" s="14">
        <v>13041</v>
      </c>
      <c r="M74" s="14"/>
      <c r="N74" s="15">
        <v>82.3934</v>
      </c>
      <c r="O74" s="16">
        <f t="shared" si="6"/>
        <v>0.010314865816005</v>
      </c>
      <c r="P74" s="15">
        <v>6.77</v>
      </c>
      <c r="Q74" s="15">
        <v>5.9</v>
      </c>
    </row>
    <row r="75" spans="1:17">
      <c r="A75" s="7">
        <v>44866</v>
      </c>
      <c r="B75" s="8">
        <f t="shared" si="7"/>
        <v>2022</v>
      </c>
      <c r="C75" s="8" t="s">
        <v>144</v>
      </c>
      <c r="D75" s="9">
        <v>36239</v>
      </c>
      <c r="E75" s="9">
        <v>-6301.3</v>
      </c>
      <c r="F75" s="10">
        <f t="shared" si="8"/>
        <v>29937.7</v>
      </c>
      <c r="G75" s="8" t="str">
        <f t="shared" si="9"/>
        <v>No</v>
      </c>
      <c r="H75" s="8" t="str">
        <f t="shared" si="10"/>
        <v>n/a</v>
      </c>
      <c r="I75" s="11" t="str">
        <f t="shared" si="11"/>
        <v/>
      </c>
      <c r="J75" s="12">
        <v>18758.35</v>
      </c>
      <c r="K75" s="16">
        <f t="shared" si="12"/>
        <v>0.0414247010359643</v>
      </c>
      <c r="L75" s="14">
        <v>13306</v>
      </c>
      <c r="M75" s="14"/>
      <c r="N75" s="15">
        <v>81.597</v>
      </c>
      <c r="O75" s="16">
        <f t="shared" si="6"/>
        <v>-0.00966582274793859</v>
      </c>
      <c r="P75" s="15">
        <v>5.88</v>
      </c>
      <c r="Q75" s="15">
        <v>5.9</v>
      </c>
    </row>
    <row r="76" spans="1:17">
      <c r="A76" s="7">
        <v>44896</v>
      </c>
      <c r="B76" s="8">
        <f t="shared" si="7"/>
        <v>2022</v>
      </c>
      <c r="C76" s="8" t="s">
        <v>144</v>
      </c>
      <c r="D76" s="9">
        <v>11119</v>
      </c>
      <c r="E76" s="9">
        <v>24159.1</v>
      </c>
      <c r="F76" s="10">
        <f t="shared" si="8"/>
        <v>35278.1</v>
      </c>
      <c r="G76" s="8" t="str">
        <f t="shared" si="9"/>
        <v>No</v>
      </c>
      <c r="H76" s="8" t="str">
        <f t="shared" si="10"/>
        <v>n/a</v>
      </c>
      <c r="I76" s="11" t="str">
        <f t="shared" si="11"/>
        <v/>
      </c>
      <c r="J76" s="12">
        <v>18105.3</v>
      </c>
      <c r="K76" s="16">
        <f t="shared" si="12"/>
        <v>-0.0348138295745628</v>
      </c>
      <c r="L76" s="14">
        <v>13573</v>
      </c>
      <c r="M76" s="14">
        <v>1531893.59</v>
      </c>
      <c r="N76" s="15">
        <v>82.7862</v>
      </c>
      <c r="O76" s="16">
        <f t="shared" si="6"/>
        <v>0.0145740652229862</v>
      </c>
      <c r="P76" s="15">
        <v>5.72</v>
      </c>
      <c r="Q76" s="15">
        <v>6.25</v>
      </c>
    </row>
    <row r="77" spans="1:17">
      <c r="A77" s="7">
        <v>44927</v>
      </c>
      <c r="B77" s="8">
        <f t="shared" si="7"/>
        <v>2023</v>
      </c>
      <c r="C77" s="8" t="s">
        <v>144</v>
      </c>
      <c r="D77" s="9">
        <v>-28852</v>
      </c>
      <c r="E77" s="9">
        <v>33411.8</v>
      </c>
      <c r="F77" s="10">
        <f t="shared" si="8"/>
        <v>4559.8</v>
      </c>
      <c r="G77" s="8" t="str">
        <f t="shared" si="9"/>
        <v>Yes</v>
      </c>
      <c r="H77" s="8" t="str">
        <f t="shared" si="10"/>
        <v>Yes</v>
      </c>
      <c r="I77" s="11">
        <f t="shared" si="11"/>
        <v>1.1580410370165</v>
      </c>
      <c r="J77" s="12">
        <v>17662.15</v>
      </c>
      <c r="K77" s="16">
        <f t="shared" si="12"/>
        <v>-0.0244762583331951</v>
      </c>
      <c r="L77" s="14">
        <v>13856</v>
      </c>
      <c r="M77" s="14"/>
      <c r="N77" s="15">
        <v>81.7387</v>
      </c>
      <c r="O77" s="16">
        <f t="shared" si="6"/>
        <v>-0.0126530750294132</v>
      </c>
      <c r="P77" s="15">
        <v>6.52</v>
      </c>
      <c r="Q77" s="15">
        <v>6.25</v>
      </c>
    </row>
    <row r="78" spans="1:17">
      <c r="A78" s="7">
        <v>44958</v>
      </c>
      <c r="B78" s="8">
        <f t="shared" si="7"/>
        <v>2023</v>
      </c>
      <c r="C78" s="8" t="s">
        <v>144</v>
      </c>
      <c r="D78" s="9">
        <v>-5294</v>
      </c>
      <c r="E78" s="9">
        <v>19239.3</v>
      </c>
      <c r="F78" s="10">
        <f t="shared" si="8"/>
        <v>13945.3</v>
      </c>
      <c r="G78" s="8" t="str">
        <f t="shared" si="9"/>
        <v>Yes</v>
      </c>
      <c r="H78" s="8" t="str">
        <f t="shared" si="10"/>
        <v>Yes</v>
      </c>
      <c r="I78" s="11">
        <f t="shared" si="11"/>
        <v>3.63417075935021</v>
      </c>
      <c r="J78" s="12">
        <v>17303.95</v>
      </c>
      <c r="K78" s="16">
        <f t="shared" si="12"/>
        <v>-0.0202806566584476</v>
      </c>
      <c r="L78" s="14">
        <v>13686</v>
      </c>
      <c r="M78" s="14"/>
      <c r="N78" s="15">
        <v>82.6816</v>
      </c>
      <c r="O78" s="16">
        <f t="shared" si="6"/>
        <v>0.0115355394690644</v>
      </c>
      <c r="P78" s="15">
        <v>6.44</v>
      </c>
      <c r="Q78" s="15">
        <v>6.5</v>
      </c>
    </row>
    <row r="79" spans="1:17">
      <c r="A79" s="7">
        <v>44986</v>
      </c>
      <c r="B79" s="8">
        <f t="shared" si="7"/>
        <v>2023</v>
      </c>
      <c r="C79" s="8" t="s">
        <v>144</v>
      </c>
      <c r="D79" s="9">
        <v>7936</v>
      </c>
      <c r="E79" s="9">
        <v>30548.8</v>
      </c>
      <c r="F79" s="10">
        <f t="shared" si="8"/>
        <v>38484.8</v>
      </c>
      <c r="G79" s="8" t="str">
        <f t="shared" si="9"/>
        <v>No</v>
      </c>
      <c r="H79" s="8" t="str">
        <f t="shared" si="10"/>
        <v>n/a</v>
      </c>
      <c r="I79" s="11" t="str">
        <f t="shared" si="11"/>
        <v/>
      </c>
      <c r="J79" s="12">
        <v>17359.75</v>
      </c>
      <c r="K79" s="16">
        <f t="shared" si="12"/>
        <v>0.00322469725120555</v>
      </c>
      <c r="L79" s="14">
        <v>14276</v>
      </c>
      <c r="M79" s="14">
        <v>1523282.13</v>
      </c>
      <c r="N79" s="15">
        <v>82.2169</v>
      </c>
      <c r="O79" s="16">
        <f t="shared" ref="O79:O121" si="13">N79/N78-1</f>
        <v>-0.00562035567768415</v>
      </c>
      <c r="P79" s="15">
        <v>5.66</v>
      </c>
      <c r="Q79" s="15">
        <v>6.5</v>
      </c>
    </row>
    <row r="80" spans="1:17">
      <c r="A80" s="7">
        <v>45017</v>
      </c>
      <c r="B80" s="8">
        <f t="shared" si="7"/>
        <v>2023</v>
      </c>
      <c r="C80" s="8" t="s">
        <v>144</v>
      </c>
      <c r="D80" s="9">
        <v>11631</v>
      </c>
      <c r="E80" s="9">
        <v>2216.6</v>
      </c>
      <c r="F80" s="10">
        <f t="shared" si="8"/>
        <v>13847.6</v>
      </c>
      <c r="G80" s="8" t="str">
        <f t="shared" si="9"/>
        <v>No</v>
      </c>
      <c r="H80" s="8" t="str">
        <f t="shared" si="10"/>
        <v>n/a</v>
      </c>
      <c r="I80" s="11" t="str">
        <f t="shared" si="11"/>
        <v/>
      </c>
      <c r="J80" s="12">
        <v>18065</v>
      </c>
      <c r="K80" s="16">
        <f t="shared" si="12"/>
        <v>0.0406255850458677</v>
      </c>
      <c r="L80" s="14">
        <v>13728</v>
      </c>
      <c r="M80" s="14"/>
      <c r="N80" s="15">
        <v>81.7829</v>
      </c>
      <c r="O80" s="16">
        <f t="shared" si="13"/>
        <v>-0.00527872006850172</v>
      </c>
      <c r="P80" s="15">
        <v>4.7</v>
      </c>
      <c r="Q80" s="15">
        <v>6.5</v>
      </c>
    </row>
    <row r="81" spans="1:17">
      <c r="A81" s="7">
        <v>45047</v>
      </c>
      <c r="B81" s="8">
        <f t="shared" si="7"/>
        <v>2023</v>
      </c>
      <c r="C81" s="8" t="s">
        <v>144</v>
      </c>
      <c r="D81" s="9">
        <v>43838</v>
      </c>
      <c r="E81" s="9">
        <v>-3306.4</v>
      </c>
      <c r="F81" s="10">
        <f t="shared" si="8"/>
        <v>40531.6</v>
      </c>
      <c r="G81" s="8" t="str">
        <f t="shared" si="9"/>
        <v>No</v>
      </c>
      <c r="H81" s="8" t="str">
        <f t="shared" si="10"/>
        <v>n/a</v>
      </c>
      <c r="I81" s="11" t="str">
        <f t="shared" si="11"/>
        <v/>
      </c>
      <c r="J81" s="12">
        <v>18534.4</v>
      </c>
      <c r="K81" s="16">
        <f t="shared" si="12"/>
        <v>0.0259839468585663</v>
      </c>
      <c r="L81" s="14">
        <v>14749</v>
      </c>
      <c r="M81" s="14"/>
      <c r="N81" s="15">
        <v>82.6773</v>
      </c>
      <c r="O81" s="16">
        <f t="shared" si="13"/>
        <v>0.0109362715188628</v>
      </c>
      <c r="P81" s="15">
        <v>4.31</v>
      </c>
      <c r="Q81" s="15">
        <v>6.5</v>
      </c>
    </row>
    <row r="82" spans="1:17">
      <c r="A82" s="7">
        <v>45078</v>
      </c>
      <c r="B82" s="8">
        <f t="shared" si="7"/>
        <v>2023</v>
      </c>
      <c r="C82" s="8" t="s">
        <v>144</v>
      </c>
      <c r="D82" s="9">
        <v>47148</v>
      </c>
      <c r="E82" s="9">
        <v>4458.2</v>
      </c>
      <c r="F82" s="10">
        <f t="shared" si="8"/>
        <v>51606.2</v>
      </c>
      <c r="G82" s="8" t="str">
        <f t="shared" si="9"/>
        <v>No</v>
      </c>
      <c r="H82" s="8" t="str">
        <f t="shared" si="10"/>
        <v>n/a</v>
      </c>
      <c r="I82" s="11" t="str">
        <f t="shared" si="11"/>
        <v/>
      </c>
      <c r="J82" s="12">
        <v>19189.05</v>
      </c>
      <c r="K82" s="16">
        <f t="shared" si="12"/>
        <v>0.0353208088743093</v>
      </c>
      <c r="L82" s="14">
        <v>14734</v>
      </c>
      <c r="M82" s="14">
        <v>1747576.71</v>
      </c>
      <c r="N82" s="15">
        <v>82.0428</v>
      </c>
      <c r="O82" s="16">
        <f t="shared" si="13"/>
        <v>-0.00767441607309383</v>
      </c>
      <c r="P82" s="15">
        <v>4.87</v>
      </c>
      <c r="Q82" s="15">
        <v>6.5</v>
      </c>
    </row>
    <row r="83" spans="1:17">
      <c r="A83" s="7">
        <v>45108</v>
      </c>
      <c r="B83" s="8">
        <f t="shared" si="7"/>
        <v>2023</v>
      </c>
      <c r="C83" s="8" t="s">
        <v>144</v>
      </c>
      <c r="D83" s="9">
        <v>46618</v>
      </c>
      <c r="E83" s="9">
        <v>-2697.7</v>
      </c>
      <c r="F83" s="10">
        <f t="shared" si="8"/>
        <v>43920.3</v>
      </c>
      <c r="G83" s="8" t="str">
        <f t="shared" si="9"/>
        <v>No</v>
      </c>
      <c r="H83" s="8" t="str">
        <f t="shared" si="10"/>
        <v>n/a</v>
      </c>
      <c r="I83" s="11" t="str">
        <f t="shared" si="11"/>
        <v/>
      </c>
      <c r="J83" s="12">
        <v>19753.8</v>
      </c>
      <c r="K83" s="16">
        <f t="shared" si="12"/>
        <v>0.0294308472800895</v>
      </c>
      <c r="L83" s="14">
        <v>15245</v>
      </c>
      <c r="M83" s="14"/>
      <c r="N83" s="15">
        <v>82.2481</v>
      </c>
      <c r="O83" s="16">
        <f t="shared" si="13"/>
        <v>0.00250235243068242</v>
      </c>
      <c r="P83" s="15">
        <v>7.44</v>
      </c>
      <c r="Q83" s="15">
        <v>6.5</v>
      </c>
    </row>
    <row r="84" spans="1:17">
      <c r="A84" s="7">
        <v>45139</v>
      </c>
      <c r="B84" s="8">
        <f t="shared" si="7"/>
        <v>2023</v>
      </c>
      <c r="C84" s="8" t="s">
        <v>144</v>
      </c>
      <c r="D84" s="9">
        <v>12262</v>
      </c>
      <c r="E84" s="9">
        <v>25017</v>
      </c>
      <c r="F84" s="10">
        <f t="shared" si="8"/>
        <v>37279</v>
      </c>
      <c r="G84" s="8" t="str">
        <f t="shared" si="9"/>
        <v>No</v>
      </c>
      <c r="H84" s="8" t="str">
        <f t="shared" si="10"/>
        <v>n/a</v>
      </c>
      <c r="I84" s="11" t="str">
        <f t="shared" si="11"/>
        <v/>
      </c>
      <c r="J84" s="12">
        <v>19253.8</v>
      </c>
      <c r="K84" s="16">
        <f t="shared" si="12"/>
        <v>-0.0253115856189695</v>
      </c>
      <c r="L84" s="14">
        <v>15814</v>
      </c>
      <c r="M84" s="14"/>
      <c r="N84" s="15">
        <v>82.6784</v>
      </c>
      <c r="O84" s="16">
        <f t="shared" si="13"/>
        <v>0.005231731796844</v>
      </c>
      <c r="P84" s="15">
        <v>6.83</v>
      </c>
      <c r="Q84" s="15">
        <v>6.5</v>
      </c>
    </row>
    <row r="85" spans="1:17">
      <c r="A85" s="7">
        <v>45170</v>
      </c>
      <c r="B85" s="8">
        <f t="shared" si="7"/>
        <v>2023</v>
      </c>
      <c r="C85" s="8" t="s">
        <v>144</v>
      </c>
      <c r="D85" s="9">
        <v>-14768</v>
      </c>
      <c r="E85" s="9">
        <v>20312.6</v>
      </c>
      <c r="F85" s="10">
        <f t="shared" si="8"/>
        <v>5544.6</v>
      </c>
      <c r="G85" s="8" t="str">
        <f t="shared" si="9"/>
        <v>Yes</v>
      </c>
      <c r="H85" s="8" t="str">
        <f t="shared" si="10"/>
        <v>Yes</v>
      </c>
      <c r="I85" s="11">
        <f t="shared" si="11"/>
        <v>1.37544691224269</v>
      </c>
      <c r="J85" s="12">
        <v>19638.3</v>
      </c>
      <c r="K85" s="16">
        <f t="shared" si="12"/>
        <v>0.019970083827608</v>
      </c>
      <c r="L85" s="14">
        <v>16042</v>
      </c>
      <c r="M85" s="14">
        <v>1912017.26</v>
      </c>
      <c r="N85" s="15">
        <v>83.058</v>
      </c>
      <c r="O85" s="16">
        <f t="shared" si="13"/>
        <v>0.00459128381778084</v>
      </c>
      <c r="P85" s="15">
        <v>5.02</v>
      </c>
      <c r="Q85" s="15">
        <v>6.5</v>
      </c>
    </row>
    <row r="86" spans="1:17">
      <c r="A86" s="7">
        <v>45200</v>
      </c>
      <c r="B86" s="8">
        <f t="shared" si="7"/>
        <v>2023</v>
      </c>
      <c r="C86" s="8" t="s">
        <v>144</v>
      </c>
      <c r="D86" s="9">
        <v>-24548</v>
      </c>
      <c r="E86" s="9">
        <v>28254</v>
      </c>
      <c r="F86" s="10">
        <f t="shared" si="8"/>
        <v>3706</v>
      </c>
      <c r="G86" s="8" t="str">
        <f t="shared" si="9"/>
        <v>Yes</v>
      </c>
      <c r="H86" s="8" t="str">
        <f t="shared" si="10"/>
        <v>Yes</v>
      </c>
      <c r="I86" s="11">
        <f t="shared" si="11"/>
        <v>1.15096952908587</v>
      </c>
      <c r="J86" s="12">
        <v>19079.6</v>
      </c>
      <c r="K86" s="16">
        <f t="shared" si="12"/>
        <v>-0.0284495093770846</v>
      </c>
      <c r="L86" s="14">
        <v>16928</v>
      </c>
      <c r="M86" s="14"/>
      <c r="N86" s="15">
        <v>83.2692</v>
      </c>
      <c r="O86" s="16">
        <f t="shared" si="13"/>
        <v>0.00254280141587793</v>
      </c>
      <c r="P86" s="15">
        <v>4.87</v>
      </c>
      <c r="Q86" s="15">
        <v>6.5</v>
      </c>
    </row>
    <row r="87" spans="1:17">
      <c r="A87" s="7">
        <v>45231</v>
      </c>
      <c r="B87" s="8">
        <f t="shared" si="7"/>
        <v>2023</v>
      </c>
      <c r="C87" s="8" t="s">
        <v>144</v>
      </c>
      <c r="D87" s="9">
        <v>9001</v>
      </c>
      <c r="E87" s="9">
        <v>14253.7</v>
      </c>
      <c r="F87" s="10">
        <f t="shared" si="8"/>
        <v>23254.7</v>
      </c>
      <c r="G87" s="8" t="str">
        <f t="shared" si="9"/>
        <v>No</v>
      </c>
      <c r="H87" s="8" t="str">
        <f t="shared" si="10"/>
        <v>n/a</v>
      </c>
      <c r="I87" s="11" t="str">
        <f t="shared" si="11"/>
        <v/>
      </c>
      <c r="J87" s="12">
        <v>20133.15</v>
      </c>
      <c r="K87" s="16">
        <f t="shared" si="12"/>
        <v>0.0552186628650497</v>
      </c>
      <c r="L87" s="14">
        <v>17073</v>
      </c>
      <c r="M87" s="14"/>
      <c r="N87" s="15">
        <v>83.35</v>
      </c>
      <c r="O87" s="16">
        <f t="shared" si="13"/>
        <v>0.000970346778881082</v>
      </c>
      <c r="P87" s="15">
        <v>5.55</v>
      </c>
      <c r="Q87" s="15">
        <v>6.5</v>
      </c>
    </row>
    <row r="88" spans="1:17">
      <c r="A88" s="7">
        <v>45261</v>
      </c>
      <c r="B88" s="8">
        <f t="shared" si="7"/>
        <v>2023</v>
      </c>
      <c r="C88" s="8" t="s">
        <v>144</v>
      </c>
      <c r="D88" s="9">
        <v>66135</v>
      </c>
      <c r="E88" s="9">
        <v>12942.2</v>
      </c>
      <c r="F88" s="10">
        <f t="shared" si="8"/>
        <v>79077.2</v>
      </c>
      <c r="G88" s="8" t="str">
        <f t="shared" si="9"/>
        <v>No</v>
      </c>
      <c r="H88" s="8" t="str">
        <f t="shared" si="10"/>
        <v>n/a</v>
      </c>
      <c r="I88" s="11" t="str">
        <f t="shared" si="11"/>
        <v/>
      </c>
      <c r="J88" s="12">
        <v>21731.4</v>
      </c>
      <c r="K88" s="16">
        <f t="shared" si="12"/>
        <v>0.0793840010132543</v>
      </c>
      <c r="L88" s="14">
        <v>17610</v>
      </c>
      <c r="M88" s="14">
        <v>2183650.64</v>
      </c>
      <c r="N88" s="15">
        <v>83.1164</v>
      </c>
      <c r="O88" s="16">
        <f t="shared" si="13"/>
        <v>-0.00280263947210557</v>
      </c>
      <c r="P88" s="15">
        <v>5.69</v>
      </c>
      <c r="Q88" s="15">
        <v>6.5</v>
      </c>
    </row>
    <row r="89" spans="1:17">
      <c r="A89" s="7">
        <v>45292</v>
      </c>
      <c r="B89" s="8">
        <f t="shared" si="7"/>
        <v>2024</v>
      </c>
      <c r="C89" s="8" t="s">
        <v>144</v>
      </c>
      <c r="D89" s="9">
        <v>-25744</v>
      </c>
      <c r="E89" s="9">
        <v>26743.6</v>
      </c>
      <c r="F89" s="10">
        <f t="shared" si="8"/>
        <v>999.599999999999</v>
      </c>
      <c r="G89" s="8" t="str">
        <f t="shared" si="9"/>
        <v>Yes</v>
      </c>
      <c r="H89" s="8" t="str">
        <f t="shared" si="10"/>
        <v>Yes</v>
      </c>
      <c r="I89" s="11">
        <f t="shared" si="11"/>
        <v>1.03882846488502</v>
      </c>
      <c r="J89" s="12">
        <v>21725.7</v>
      </c>
      <c r="K89" s="16">
        <f t="shared" si="12"/>
        <v>-0.000262293271487413</v>
      </c>
      <c r="L89" s="14">
        <v>18838</v>
      </c>
      <c r="M89" s="14"/>
      <c r="N89" s="15">
        <v>83.0805</v>
      </c>
      <c r="O89" s="16">
        <f t="shared" si="13"/>
        <v>-0.0004319243855605</v>
      </c>
      <c r="P89" s="15">
        <v>5.1</v>
      </c>
      <c r="Q89" s="15">
        <v>6.5</v>
      </c>
    </row>
    <row r="90" spans="1:17">
      <c r="A90" s="7">
        <v>45323</v>
      </c>
      <c r="B90" s="8">
        <f t="shared" si="7"/>
        <v>2024</v>
      </c>
      <c r="C90" s="8" t="s">
        <v>144</v>
      </c>
      <c r="D90" s="9">
        <v>1539</v>
      </c>
      <c r="E90" s="9">
        <v>25379.3</v>
      </c>
      <c r="F90" s="10">
        <f t="shared" si="8"/>
        <v>26918.3</v>
      </c>
      <c r="G90" s="8" t="str">
        <f t="shared" si="9"/>
        <v>No</v>
      </c>
      <c r="H90" s="8" t="str">
        <f t="shared" si="10"/>
        <v>n/a</v>
      </c>
      <c r="I90" s="11" t="str">
        <f t="shared" si="11"/>
        <v/>
      </c>
      <c r="J90" s="12">
        <v>21982.8</v>
      </c>
      <c r="K90" s="16">
        <f t="shared" si="12"/>
        <v>0.0118339109902097</v>
      </c>
      <c r="L90" s="14">
        <v>19187</v>
      </c>
      <c r="M90" s="14"/>
      <c r="N90" s="15">
        <v>82.9246</v>
      </c>
      <c r="O90" s="16">
        <f t="shared" si="13"/>
        <v>-0.00187649328061346</v>
      </c>
      <c r="P90" s="15">
        <v>5.09</v>
      </c>
      <c r="Q90" s="15">
        <v>6.5</v>
      </c>
    </row>
    <row r="91" spans="1:17">
      <c r="A91" s="7">
        <v>45352</v>
      </c>
      <c r="B91" s="8">
        <f t="shared" si="7"/>
        <v>2024</v>
      </c>
      <c r="C91" s="8" t="s">
        <v>144</v>
      </c>
      <c r="D91" s="9">
        <v>35098</v>
      </c>
      <c r="E91" s="9">
        <v>56311.6</v>
      </c>
      <c r="F91" s="10">
        <f t="shared" si="8"/>
        <v>91409.6</v>
      </c>
      <c r="G91" s="8" t="str">
        <f t="shared" si="9"/>
        <v>No</v>
      </c>
      <c r="H91" s="8" t="str">
        <f t="shared" si="10"/>
        <v>n/a</v>
      </c>
      <c r="I91" s="11" t="str">
        <f t="shared" si="11"/>
        <v/>
      </c>
      <c r="J91" s="12">
        <v>22326.9</v>
      </c>
      <c r="K91" s="16">
        <f t="shared" si="12"/>
        <v>0.015653147005841</v>
      </c>
      <c r="L91" s="14">
        <v>19271</v>
      </c>
      <c r="M91" s="14">
        <v>2353037.22</v>
      </c>
      <c r="N91" s="15">
        <v>83.3739</v>
      </c>
      <c r="O91" s="16">
        <f t="shared" si="13"/>
        <v>0.00541817506505926</v>
      </c>
      <c r="P91" s="15">
        <v>4.85</v>
      </c>
      <c r="Q91" s="15">
        <v>6.5</v>
      </c>
    </row>
    <row r="92" spans="1:17">
      <c r="A92" s="7">
        <v>45383</v>
      </c>
      <c r="B92" s="8">
        <f t="shared" si="7"/>
        <v>2024</v>
      </c>
      <c r="C92" s="8" t="s">
        <v>144</v>
      </c>
      <c r="D92" s="9">
        <v>-8671</v>
      </c>
      <c r="E92" s="9">
        <v>44186.3</v>
      </c>
      <c r="F92" s="10">
        <f t="shared" si="8"/>
        <v>35515.3</v>
      </c>
      <c r="G92" s="8" t="str">
        <f t="shared" si="9"/>
        <v>Yes</v>
      </c>
      <c r="H92" s="8" t="str">
        <f t="shared" si="10"/>
        <v>Yes</v>
      </c>
      <c r="I92" s="11">
        <f t="shared" si="11"/>
        <v>5.09587129512167</v>
      </c>
      <c r="J92" s="12">
        <v>22604.85</v>
      </c>
      <c r="K92" s="16">
        <f t="shared" si="12"/>
        <v>0.0124491084745306</v>
      </c>
      <c r="L92" s="14">
        <v>20371</v>
      </c>
      <c r="M92" s="14"/>
      <c r="N92" s="15">
        <v>83.5187</v>
      </c>
      <c r="O92" s="16">
        <f t="shared" si="13"/>
        <v>0.00173675454788591</v>
      </c>
      <c r="P92" s="15">
        <v>4.83</v>
      </c>
      <c r="Q92" s="15">
        <v>6.5</v>
      </c>
    </row>
    <row r="93" spans="1:17">
      <c r="A93" s="7">
        <v>45413</v>
      </c>
      <c r="B93" s="8">
        <f t="shared" si="7"/>
        <v>2024</v>
      </c>
      <c r="C93" s="8" t="s">
        <v>144</v>
      </c>
      <c r="D93" s="9">
        <v>-25586</v>
      </c>
      <c r="E93" s="9">
        <v>55733</v>
      </c>
      <c r="F93" s="10">
        <f t="shared" si="8"/>
        <v>30147</v>
      </c>
      <c r="G93" s="8" t="str">
        <f t="shared" si="9"/>
        <v>Yes</v>
      </c>
      <c r="H93" s="8" t="str">
        <f t="shared" si="10"/>
        <v>Yes</v>
      </c>
      <c r="I93" s="11">
        <f t="shared" si="11"/>
        <v>2.17826154928477</v>
      </c>
      <c r="J93" s="12">
        <v>22530.7</v>
      </c>
      <c r="K93" s="16">
        <f t="shared" si="12"/>
        <v>-0.00328026949968696</v>
      </c>
      <c r="L93" s="14">
        <v>20904</v>
      </c>
      <c r="M93" s="14"/>
      <c r="N93" s="15">
        <v>83.2988</v>
      </c>
      <c r="O93" s="16">
        <f t="shared" si="13"/>
        <v>-0.00263294328096575</v>
      </c>
      <c r="P93" s="15">
        <v>4.8</v>
      </c>
      <c r="Q93" s="15">
        <v>6.5</v>
      </c>
    </row>
    <row r="94" spans="1:17">
      <c r="A94" s="7">
        <v>45444</v>
      </c>
      <c r="B94" s="8">
        <f t="shared" si="7"/>
        <v>2024</v>
      </c>
      <c r="C94" s="8" t="s">
        <v>144</v>
      </c>
      <c r="D94" s="9">
        <v>26565</v>
      </c>
      <c r="E94" s="9">
        <v>28633.2</v>
      </c>
      <c r="F94" s="10">
        <f t="shared" si="8"/>
        <v>55198.2</v>
      </c>
      <c r="G94" s="8" t="str">
        <f t="shared" si="9"/>
        <v>No</v>
      </c>
      <c r="H94" s="8" t="str">
        <f t="shared" si="10"/>
        <v>n/a</v>
      </c>
      <c r="I94" s="11" t="str">
        <f t="shared" si="11"/>
        <v/>
      </c>
      <c r="J94" s="12">
        <v>24010.6</v>
      </c>
      <c r="K94" s="16">
        <f t="shared" si="12"/>
        <v>0.0656837115580073</v>
      </c>
      <c r="L94" s="14">
        <v>21262</v>
      </c>
      <c r="M94" s="14">
        <v>2772493.7</v>
      </c>
      <c r="N94" s="15">
        <v>83.4534</v>
      </c>
      <c r="O94" s="16">
        <f t="shared" si="13"/>
        <v>0.00185596911360064</v>
      </c>
      <c r="P94" s="15">
        <v>5.08</v>
      </c>
      <c r="Q94" s="15">
        <v>6.5</v>
      </c>
    </row>
    <row r="95" spans="1:17">
      <c r="A95" s="7">
        <v>45474</v>
      </c>
      <c r="B95" s="8">
        <f t="shared" si="7"/>
        <v>2024</v>
      </c>
      <c r="C95" s="8" t="s">
        <v>144</v>
      </c>
      <c r="D95" s="9">
        <v>32365</v>
      </c>
      <c r="E95" s="9">
        <v>23486</v>
      </c>
      <c r="F95" s="10">
        <f t="shared" si="8"/>
        <v>55851</v>
      </c>
      <c r="G95" s="8" t="str">
        <f t="shared" si="9"/>
        <v>No</v>
      </c>
      <c r="H95" s="8" t="str">
        <f t="shared" si="10"/>
        <v>n/a</v>
      </c>
      <c r="I95" s="11" t="str">
        <f t="shared" si="11"/>
        <v/>
      </c>
      <c r="J95" s="12">
        <v>24951.15</v>
      </c>
      <c r="K95" s="16">
        <f t="shared" si="12"/>
        <v>0.03917228224201</v>
      </c>
      <c r="L95" s="14">
        <v>23332</v>
      </c>
      <c r="M95" s="14"/>
      <c r="N95" s="15">
        <v>83.744</v>
      </c>
      <c r="O95" s="16">
        <f t="shared" si="13"/>
        <v>0.0034821828709195</v>
      </c>
      <c r="P95" s="15">
        <v>3.6</v>
      </c>
      <c r="Q95" s="15">
        <v>6.5</v>
      </c>
    </row>
    <row r="96" spans="1:17">
      <c r="A96" s="7">
        <v>45505</v>
      </c>
      <c r="B96" s="8">
        <f t="shared" si="7"/>
        <v>2024</v>
      </c>
      <c r="C96" s="8" t="s">
        <v>144</v>
      </c>
      <c r="D96" s="9">
        <v>7320</v>
      </c>
      <c r="E96" s="9">
        <v>48278.6</v>
      </c>
      <c r="F96" s="10">
        <f t="shared" si="8"/>
        <v>55598.6</v>
      </c>
      <c r="G96" s="8" t="str">
        <f t="shared" si="9"/>
        <v>No</v>
      </c>
      <c r="H96" s="8" t="str">
        <f t="shared" si="10"/>
        <v>n/a</v>
      </c>
      <c r="I96" s="11" t="str">
        <f t="shared" si="11"/>
        <v/>
      </c>
      <c r="J96" s="12">
        <v>25235.9</v>
      </c>
      <c r="K96" s="16">
        <f t="shared" si="12"/>
        <v>0.0114122996334838</v>
      </c>
      <c r="L96" s="14">
        <v>23547</v>
      </c>
      <c r="M96" s="14"/>
      <c r="N96" s="15">
        <v>83.8709</v>
      </c>
      <c r="O96" s="16">
        <f t="shared" si="13"/>
        <v>0.00151533244172719</v>
      </c>
      <c r="P96" s="15">
        <v>3.65</v>
      </c>
      <c r="Q96" s="15">
        <v>6.5</v>
      </c>
    </row>
    <row r="97" spans="1:17">
      <c r="A97" s="7">
        <v>45536</v>
      </c>
      <c r="B97" s="8">
        <f t="shared" si="7"/>
        <v>2024</v>
      </c>
      <c r="C97" s="8" t="s">
        <v>144</v>
      </c>
      <c r="D97" s="9">
        <v>57724</v>
      </c>
      <c r="E97" s="9">
        <v>31860.2</v>
      </c>
      <c r="F97" s="10">
        <f t="shared" si="8"/>
        <v>89584.2</v>
      </c>
      <c r="G97" s="8" t="str">
        <f t="shared" si="9"/>
        <v>No</v>
      </c>
      <c r="H97" s="8" t="str">
        <f t="shared" si="10"/>
        <v>n/a</v>
      </c>
      <c r="I97" s="11" t="str">
        <f t="shared" si="11"/>
        <v/>
      </c>
      <c r="J97" s="12">
        <v>25810.85</v>
      </c>
      <c r="K97" s="16">
        <f t="shared" si="12"/>
        <v>0.0227830194286709</v>
      </c>
      <c r="L97" s="14">
        <v>24509</v>
      </c>
      <c r="M97" s="14">
        <v>3154806.24</v>
      </c>
      <c r="N97" s="15">
        <v>83.7888</v>
      </c>
      <c r="O97" s="16">
        <f t="shared" si="13"/>
        <v>-0.000978885406022978</v>
      </c>
      <c r="P97" s="15">
        <v>5.49</v>
      </c>
      <c r="Q97" s="15">
        <v>6.5</v>
      </c>
    </row>
    <row r="98" spans="1:17">
      <c r="A98" s="7">
        <v>45566</v>
      </c>
      <c r="B98" s="8">
        <f t="shared" si="7"/>
        <v>2024</v>
      </c>
      <c r="C98" s="8" t="s">
        <v>144</v>
      </c>
      <c r="D98" s="9">
        <v>-94017</v>
      </c>
      <c r="E98" s="9">
        <v>107254.7</v>
      </c>
      <c r="F98" s="10">
        <f t="shared" si="8"/>
        <v>13237.7</v>
      </c>
      <c r="G98" s="8" t="str">
        <f t="shared" si="9"/>
        <v>Yes</v>
      </c>
      <c r="H98" s="8" t="str">
        <f t="shared" si="10"/>
        <v>Yes</v>
      </c>
      <c r="I98" s="11">
        <f t="shared" si="11"/>
        <v>1.14080113171022</v>
      </c>
      <c r="J98" s="12">
        <v>24205.35</v>
      </c>
      <c r="K98" s="16">
        <f t="shared" si="12"/>
        <v>-0.0622025233574253</v>
      </c>
      <c r="L98" s="14">
        <v>25323</v>
      </c>
      <c r="M98" s="14"/>
      <c r="N98" s="15">
        <v>84.0886</v>
      </c>
      <c r="O98" s="16">
        <f t="shared" si="13"/>
        <v>0.00357804384356863</v>
      </c>
      <c r="P98" s="15">
        <v>6.21</v>
      </c>
      <c r="Q98" s="15">
        <v>6.5</v>
      </c>
    </row>
    <row r="99" spans="1:17">
      <c r="A99" s="7">
        <v>45597</v>
      </c>
      <c r="B99" s="8">
        <f t="shared" si="7"/>
        <v>2024</v>
      </c>
      <c r="C99" s="8" t="s">
        <v>144</v>
      </c>
      <c r="D99" s="9">
        <v>-21612</v>
      </c>
      <c r="E99" s="9">
        <v>44483.9</v>
      </c>
      <c r="F99" s="10">
        <f t="shared" si="8"/>
        <v>22871.9</v>
      </c>
      <c r="G99" s="8" t="str">
        <f t="shared" si="9"/>
        <v>Yes</v>
      </c>
      <c r="H99" s="8" t="str">
        <f t="shared" si="10"/>
        <v>Yes</v>
      </c>
      <c r="I99" s="11">
        <f t="shared" si="11"/>
        <v>2.058296316861</v>
      </c>
      <c r="J99" s="12">
        <v>24131.1</v>
      </c>
      <c r="K99" s="16">
        <f t="shared" si="12"/>
        <v>-0.00306750367170894</v>
      </c>
      <c r="L99" s="14">
        <v>25320</v>
      </c>
      <c r="M99" s="14"/>
      <c r="N99" s="15">
        <v>84.4971</v>
      </c>
      <c r="O99" s="16">
        <f t="shared" si="13"/>
        <v>0.00485797123510201</v>
      </c>
      <c r="P99" s="15">
        <v>5.48</v>
      </c>
      <c r="Q99" s="15">
        <v>6.5</v>
      </c>
    </row>
    <row r="100" spans="1:17">
      <c r="A100" s="7">
        <v>45627</v>
      </c>
      <c r="B100" s="8">
        <f t="shared" si="7"/>
        <v>2024</v>
      </c>
      <c r="C100" s="8" t="s">
        <v>144</v>
      </c>
      <c r="D100" s="9">
        <v>15446</v>
      </c>
      <c r="E100" s="9">
        <v>34194.7</v>
      </c>
      <c r="F100" s="10">
        <f t="shared" si="8"/>
        <v>49640.7</v>
      </c>
      <c r="G100" s="8" t="str">
        <f t="shared" si="9"/>
        <v>No</v>
      </c>
      <c r="H100" s="8" t="str">
        <f t="shared" si="10"/>
        <v>n/a</v>
      </c>
      <c r="I100" s="11" t="str">
        <f t="shared" si="11"/>
        <v/>
      </c>
      <c r="J100" s="12">
        <v>23644.8</v>
      </c>
      <c r="K100" s="16">
        <f t="shared" si="12"/>
        <v>-0.0201524174198441</v>
      </c>
      <c r="L100" s="14">
        <v>26459</v>
      </c>
      <c r="M100" s="14">
        <v>3103797.7</v>
      </c>
      <c r="N100" s="15">
        <v>85.6232</v>
      </c>
      <c r="O100" s="16">
        <f t="shared" si="13"/>
        <v>0.0133270845981697</v>
      </c>
      <c r="P100" s="15">
        <v>5.22</v>
      </c>
      <c r="Q100" s="15">
        <v>6.5</v>
      </c>
    </row>
    <row r="101" spans="1:17">
      <c r="A101" s="7">
        <v>45658</v>
      </c>
      <c r="B101" s="8">
        <f t="shared" si="7"/>
        <v>2025</v>
      </c>
      <c r="C101" s="8" t="s">
        <v>144</v>
      </c>
      <c r="D101" s="9">
        <v>-78027</v>
      </c>
      <c r="E101" s="9">
        <v>86591.8</v>
      </c>
      <c r="F101" s="10">
        <f t="shared" si="8"/>
        <v>8564.8</v>
      </c>
      <c r="G101" s="8" t="str">
        <f t="shared" si="9"/>
        <v>Yes</v>
      </c>
      <c r="H101" s="8" t="str">
        <f t="shared" si="10"/>
        <v>Yes</v>
      </c>
      <c r="I101" s="11">
        <f t="shared" si="11"/>
        <v>1.10976713189024</v>
      </c>
      <c r="J101" s="12">
        <v>23508.4</v>
      </c>
      <c r="K101" s="16">
        <f t="shared" si="12"/>
        <v>-0.00576871024495862</v>
      </c>
      <c r="L101" s="14">
        <v>26400</v>
      </c>
      <c r="M101" s="14"/>
      <c r="N101" s="15">
        <v>86.6414</v>
      </c>
      <c r="O101" s="16">
        <f t="shared" si="13"/>
        <v>0.0118916368460886</v>
      </c>
      <c r="P101" s="15">
        <v>4.26</v>
      </c>
      <c r="Q101" s="15">
        <v>6.5</v>
      </c>
    </row>
    <row r="102" spans="1:17">
      <c r="A102" s="7">
        <v>45689</v>
      </c>
      <c r="B102" s="8">
        <f t="shared" si="7"/>
        <v>2025</v>
      </c>
      <c r="C102" s="8" t="s">
        <v>144</v>
      </c>
      <c r="D102" s="9">
        <v>-34574</v>
      </c>
      <c r="E102" s="9">
        <v>64853.2</v>
      </c>
      <c r="F102" s="10">
        <f t="shared" si="8"/>
        <v>30279.2</v>
      </c>
      <c r="G102" s="8" t="str">
        <f t="shared" si="9"/>
        <v>Yes</v>
      </c>
      <c r="H102" s="8" t="str">
        <f t="shared" si="10"/>
        <v>Yes</v>
      </c>
      <c r="I102" s="11">
        <f t="shared" si="11"/>
        <v>1.87577948747614</v>
      </c>
      <c r="J102" s="12">
        <v>22124.7</v>
      </c>
      <c r="K102" s="16">
        <f t="shared" si="12"/>
        <v>-0.0588598118119481</v>
      </c>
      <c r="L102" s="14">
        <v>25999</v>
      </c>
      <c r="M102" s="14"/>
      <c r="N102" s="15">
        <v>87.4006</v>
      </c>
      <c r="O102" s="16">
        <f t="shared" si="13"/>
        <v>0.0087625546216934</v>
      </c>
      <c r="P102" s="15">
        <v>3.61</v>
      </c>
      <c r="Q102" s="15">
        <v>6.25</v>
      </c>
    </row>
    <row r="103" spans="1:17">
      <c r="A103" s="7">
        <v>45717</v>
      </c>
      <c r="B103" s="8">
        <f t="shared" si="7"/>
        <v>2025</v>
      </c>
      <c r="C103" s="8" t="s">
        <v>144</v>
      </c>
      <c r="D103" s="9">
        <v>-3973</v>
      </c>
      <c r="E103" s="9">
        <v>37585.7</v>
      </c>
      <c r="F103" s="10">
        <f t="shared" si="8"/>
        <v>33612.7</v>
      </c>
      <c r="G103" s="8" t="str">
        <f t="shared" si="9"/>
        <v>Yes</v>
      </c>
      <c r="H103" s="8" t="str">
        <f t="shared" si="10"/>
        <v>Yes</v>
      </c>
      <c r="I103" s="11">
        <f t="shared" si="11"/>
        <v>9.4602819028442</v>
      </c>
      <c r="J103" s="12">
        <v>23519.35</v>
      </c>
      <c r="K103" s="16">
        <f t="shared" si="12"/>
        <v>0.0630358829724245</v>
      </c>
      <c r="L103" s="14">
        <v>25926</v>
      </c>
      <c r="M103" s="14">
        <v>2990600.87</v>
      </c>
      <c r="N103" s="15">
        <v>85.5814</v>
      </c>
      <c r="O103" s="16">
        <f t="shared" si="13"/>
        <v>-0.0208145024176035</v>
      </c>
      <c r="P103" s="15">
        <v>3.34</v>
      </c>
      <c r="Q103" s="15">
        <v>6.25</v>
      </c>
    </row>
    <row r="104" spans="1:17">
      <c r="A104" s="7">
        <v>45748</v>
      </c>
      <c r="B104" s="8">
        <f t="shared" si="7"/>
        <v>2025</v>
      </c>
      <c r="C104" s="8" t="s">
        <v>144</v>
      </c>
      <c r="D104" s="9">
        <v>4223</v>
      </c>
      <c r="E104" s="9">
        <v>28228.4</v>
      </c>
      <c r="F104" s="10">
        <f t="shared" si="8"/>
        <v>32451.4</v>
      </c>
      <c r="G104" s="8" t="str">
        <f t="shared" si="9"/>
        <v>No</v>
      </c>
      <c r="H104" s="8" t="str">
        <f t="shared" si="10"/>
        <v>n/a</v>
      </c>
      <c r="I104" s="11" t="str">
        <f t="shared" si="11"/>
        <v/>
      </c>
      <c r="J104" s="12">
        <v>24334.2</v>
      </c>
      <c r="K104" s="16">
        <f t="shared" si="12"/>
        <v>0.0346459404702937</v>
      </c>
      <c r="L104" s="14">
        <v>26632</v>
      </c>
      <c r="M104" s="14"/>
      <c r="N104" s="15">
        <v>85.0535</v>
      </c>
      <c r="O104" s="16">
        <f t="shared" si="13"/>
        <v>-0.00616839640389155</v>
      </c>
      <c r="P104" s="15">
        <v>3.16</v>
      </c>
      <c r="Q104" s="15">
        <v>6</v>
      </c>
    </row>
    <row r="105" spans="1:17">
      <c r="A105" s="7">
        <v>45778</v>
      </c>
      <c r="B105" s="8">
        <f t="shared" si="7"/>
        <v>2025</v>
      </c>
      <c r="C105" s="8" t="s">
        <v>144</v>
      </c>
      <c r="D105" s="9">
        <v>19860</v>
      </c>
      <c r="E105" s="9">
        <v>67642.3</v>
      </c>
      <c r="F105" s="10">
        <f t="shared" si="8"/>
        <v>87502.3</v>
      </c>
      <c r="G105" s="8" t="str">
        <f t="shared" si="9"/>
        <v>No</v>
      </c>
      <c r="H105" s="8" t="str">
        <f t="shared" si="10"/>
        <v>n/a</v>
      </c>
      <c r="I105" s="11" t="str">
        <f t="shared" si="11"/>
        <v/>
      </c>
      <c r="J105" s="12">
        <v>24750.7</v>
      </c>
      <c r="K105" s="16">
        <f t="shared" si="12"/>
        <v>0.0171158287513047</v>
      </c>
      <c r="L105" s="14">
        <v>26688</v>
      </c>
      <c r="M105" s="14"/>
      <c r="N105" s="15">
        <v>85.4778</v>
      </c>
      <c r="O105" s="16">
        <f t="shared" si="13"/>
        <v>0.00498862480673923</v>
      </c>
      <c r="P105" s="15">
        <v>2.82</v>
      </c>
      <c r="Q105" s="15">
        <v>6</v>
      </c>
    </row>
    <row r="106" spans="1:17">
      <c r="A106" s="7">
        <v>45809</v>
      </c>
      <c r="B106" s="8">
        <f t="shared" si="7"/>
        <v>2025</v>
      </c>
      <c r="C106" s="8" t="s">
        <v>144</v>
      </c>
      <c r="D106" s="9">
        <v>14590</v>
      </c>
      <c r="E106" s="9">
        <v>72673.9</v>
      </c>
      <c r="F106" s="10">
        <f t="shared" si="8"/>
        <v>87263.9</v>
      </c>
      <c r="G106" s="8" t="str">
        <f t="shared" si="9"/>
        <v>No</v>
      </c>
      <c r="H106" s="8" t="str">
        <f t="shared" si="10"/>
        <v>n/a</v>
      </c>
      <c r="I106" s="11" t="str">
        <f t="shared" si="11"/>
        <v/>
      </c>
      <c r="J106" s="12">
        <v>25517.05</v>
      </c>
      <c r="K106" s="16">
        <f t="shared" si="12"/>
        <v>0.0309627606491938</v>
      </c>
      <c r="L106" s="14">
        <v>27269</v>
      </c>
      <c r="M106" s="14">
        <v>3395887.67</v>
      </c>
      <c r="N106" s="15">
        <v>85.5439</v>
      </c>
      <c r="O106" s="16">
        <f t="shared" si="13"/>
        <v>0.000773300201923677</v>
      </c>
      <c r="P106" s="15">
        <v>2.1</v>
      </c>
      <c r="Q106" s="15">
        <v>5.5</v>
      </c>
    </row>
    <row r="107" spans="1:17">
      <c r="A107" s="7">
        <v>45839</v>
      </c>
      <c r="B107" s="8">
        <f t="shared" si="7"/>
        <v>2025</v>
      </c>
      <c r="C107" s="8" t="s">
        <v>144</v>
      </c>
      <c r="D107" s="9">
        <v>-17741</v>
      </c>
      <c r="E107" s="9">
        <v>60939.2</v>
      </c>
      <c r="F107" s="10">
        <f t="shared" si="8"/>
        <v>43198.2</v>
      </c>
      <c r="G107" s="8" t="str">
        <f t="shared" si="9"/>
        <v>Yes</v>
      </c>
      <c r="H107" s="8" t="str">
        <f t="shared" si="10"/>
        <v>Yes</v>
      </c>
      <c r="I107" s="11">
        <f t="shared" si="11"/>
        <v>3.43493602389944</v>
      </c>
      <c r="J107" s="12">
        <v>24768.35</v>
      </c>
      <c r="K107" s="16">
        <f t="shared" si="12"/>
        <v>-0.0293411660046911</v>
      </c>
      <c r="L107" s="14">
        <v>28464</v>
      </c>
      <c r="M107" s="14"/>
      <c r="N107" s="15">
        <v>87.5544</v>
      </c>
      <c r="O107" s="16">
        <f t="shared" si="13"/>
        <v>0.0235025524905927</v>
      </c>
      <c r="P107" s="15">
        <v>1.61</v>
      </c>
      <c r="Q107" s="15">
        <v>5.5</v>
      </c>
    </row>
    <row r="108" spans="1:17">
      <c r="A108" s="7">
        <v>45870</v>
      </c>
      <c r="B108" s="8">
        <f t="shared" si="7"/>
        <v>2025</v>
      </c>
      <c r="C108" s="8" t="s">
        <v>144</v>
      </c>
      <c r="D108" s="9">
        <v>-34993</v>
      </c>
      <c r="E108" s="9">
        <v>94828.6</v>
      </c>
      <c r="F108" s="10">
        <f t="shared" si="8"/>
        <v>59835.6</v>
      </c>
      <c r="G108" s="8" t="str">
        <f t="shared" si="9"/>
        <v>Yes</v>
      </c>
      <c r="H108" s="8" t="str">
        <f t="shared" si="10"/>
        <v>Yes</v>
      </c>
      <c r="I108" s="11">
        <f t="shared" si="11"/>
        <v>2.70993055754008</v>
      </c>
      <c r="J108" s="12">
        <v>24426.85</v>
      </c>
      <c r="K108" s="16">
        <f t="shared" si="12"/>
        <v>-0.013787757359695</v>
      </c>
      <c r="L108" s="14">
        <v>28265</v>
      </c>
      <c r="M108" s="14"/>
      <c r="N108" s="15">
        <v>87.8514</v>
      </c>
      <c r="O108" s="16">
        <f t="shared" si="13"/>
        <v>0.00339217674954084</v>
      </c>
      <c r="P108" s="15">
        <v>2.07</v>
      </c>
      <c r="Q108" s="15">
        <v>5.5</v>
      </c>
    </row>
    <row r="109" spans="1:17">
      <c r="A109" s="7">
        <v>45901</v>
      </c>
      <c r="B109" s="8">
        <f t="shared" si="7"/>
        <v>2025</v>
      </c>
      <c r="C109" s="8" t="s">
        <v>144</v>
      </c>
      <c r="D109" s="9">
        <v>-23885</v>
      </c>
      <c r="E109" s="9">
        <v>65343.6</v>
      </c>
      <c r="F109" s="10">
        <f t="shared" si="8"/>
        <v>41458.6</v>
      </c>
      <c r="G109" s="8" t="str">
        <f t="shared" si="9"/>
        <v>Yes</v>
      </c>
      <c r="H109" s="8" t="str">
        <f t="shared" si="10"/>
        <v>Yes</v>
      </c>
      <c r="I109" s="11">
        <f t="shared" si="11"/>
        <v>2.73575884446305</v>
      </c>
      <c r="J109" s="12">
        <v>24611.1</v>
      </c>
      <c r="K109" s="16">
        <f t="shared" si="12"/>
        <v>0.00754292919471822</v>
      </c>
      <c r="L109" s="14">
        <v>29361</v>
      </c>
      <c r="M109" s="14">
        <v>3420846.16</v>
      </c>
      <c r="N109" s="15">
        <v>88.7923</v>
      </c>
      <c r="O109" s="16">
        <f t="shared" si="13"/>
        <v>0.0107101309711626</v>
      </c>
      <c r="P109" s="15">
        <v>1.44</v>
      </c>
      <c r="Q109" s="15">
        <v>5.5</v>
      </c>
    </row>
    <row r="110" spans="1:17">
      <c r="A110" s="7">
        <v>45931</v>
      </c>
      <c r="B110" s="8">
        <f t="shared" si="7"/>
        <v>2025</v>
      </c>
      <c r="C110" s="8" t="s">
        <v>144</v>
      </c>
      <c r="D110" s="9">
        <v>14610</v>
      </c>
      <c r="E110" s="9">
        <v>52794</v>
      </c>
      <c r="F110" s="10">
        <f t="shared" si="8"/>
        <v>67404</v>
      </c>
      <c r="G110" s="8" t="str">
        <f t="shared" si="9"/>
        <v>No</v>
      </c>
      <c r="H110" s="8" t="str">
        <f t="shared" si="10"/>
        <v>n/a</v>
      </c>
      <c r="I110" s="11" t="str">
        <f t="shared" si="11"/>
        <v/>
      </c>
      <c r="J110" s="12">
        <v>25722.1</v>
      </c>
      <c r="K110" s="16">
        <f t="shared" si="12"/>
        <v>0.0451422325698567</v>
      </c>
      <c r="L110" s="14">
        <v>29529</v>
      </c>
      <c r="M110" s="14"/>
      <c r="N110" s="15">
        <v>88.7241</v>
      </c>
      <c r="O110" s="16">
        <f t="shared" si="13"/>
        <v>-0.000768084619950038</v>
      </c>
      <c r="P110" s="15">
        <v>0.25</v>
      </c>
      <c r="Q110" s="15">
        <v>5.5</v>
      </c>
    </row>
    <row r="111" spans="1:17">
      <c r="A111" s="7">
        <v>45962</v>
      </c>
      <c r="B111" s="8">
        <f t="shared" si="7"/>
        <v>2025</v>
      </c>
      <c r="C111" s="8" t="s">
        <v>144</v>
      </c>
      <c r="D111" s="9">
        <v>-3765</v>
      </c>
      <c r="E111" s="9">
        <v>77083.8</v>
      </c>
      <c r="F111" s="10">
        <f t="shared" si="8"/>
        <v>73318.8</v>
      </c>
      <c r="G111" s="8" t="str">
        <f t="shared" si="9"/>
        <v>Yes</v>
      </c>
      <c r="H111" s="8" t="str">
        <f t="shared" si="10"/>
        <v>Yes</v>
      </c>
      <c r="I111" s="11">
        <f t="shared" si="11"/>
        <v>20.4737848605578</v>
      </c>
      <c r="J111" s="12">
        <v>26202.95</v>
      </c>
      <c r="K111" s="16">
        <f t="shared" si="12"/>
        <v>0.0186940413107795</v>
      </c>
      <c r="L111" s="14">
        <v>29445</v>
      </c>
      <c r="M111" s="14"/>
      <c r="N111" s="15">
        <v>89.4557</v>
      </c>
      <c r="O111" s="16">
        <f t="shared" si="13"/>
        <v>0.0082457866577399</v>
      </c>
      <c r="P111" s="15">
        <v>0.71</v>
      </c>
      <c r="Q111" s="15">
        <v>5.5</v>
      </c>
    </row>
    <row r="112" spans="1:17">
      <c r="A112" s="7">
        <v>45992</v>
      </c>
      <c r="B112" s="8">
        <f t="shared" si="7"/>
        <v>2025</v>
      </c>
      <c r="C112" s="8" t="s">
        <v>144</v>
      </c>
      <c r="D112" s="9">
        <v>-22611</v>
      </c>
      <c r="E112" s="9">
        <v>79619.9</v>
      </c>
      <c r="F112" s="10">
        <f t="shared" si="8"/>
        <v>57008.9</v>
      </c>
      <c r="G112" s="8" t="str">
        <f t="shared" si="9"/>
        <v>Yes</v>
      </c>
      <c r="H112" s="8" t="str">
        <f t="shared" si="10"/>
        <v>Yes</v>
      </c>
      <c r="I112" s="11">
        <f t="shared" si="11"/>
        <v>3.52129052231215</v>
      </c>
      <c r="J112" s="12">
        <v>26129.6</v>
      </c>
      <c r="K112" s="16">
        <f t="shared" si="12"/>
        <v>-0.00279930313189936</v>
      </c>
      <c r="L112" s="14">
        <v>31002</v>
      </c>
      <c r="M112" s="14">
        <v>3628121.69</v>
      </c>
      <c r="N112" s="15">
        <v>89.9198</v>
      </c>
      <c r="O112" s="16">
        <f t="shared" si="13"/>
        <v>0.00518804279660223</v>
      </c>
      <c r="P112" s="15">
        <v>1.33</v>
      </c>
      <c r="Q112" s="15">
        <v>5.25</v>
      </c>
    </row>
    <row r="113" spans="1:17">
      <c r="A113" s="7">
        <v>46023</v>
      </c>
      <c r="B113" s="8">
        <f t="shared" si="7"/>
        <v>2026</v>
      </c>
      <c r="C113" s="8" t="s">
        <v>144</v>
      </c>
      <c r="D113" s="9">
        <v>-35962</v>
      </c>
      <c r="E113" s="9">
        <v>69220.7</v>
      </c>
      <c r="F113" s="10">
        <f t="shared" si="8"/>
        <v>33258.7</v>
      </c>
      <c r="G113" s="8" t="str">
        <f t="shared" si="9"/>
        <v>Yes</v>
      </c>
      <c r="H113" s="8" t="str">
        <f t="shared" si="10"/>
        <v>Yes</v>
      </c>
      <c r="I113" s="11">
        <f t="shared" si="11"/>
        <v>1.92482898615205</v>
      </c>
      <c r="J113" s="12">
        <v>25320.65</v>
      </c>
      <c r="K113" s="16">
        <f t="shared" si="12"/>
        <v>-0.0309591421223439</v>
      </c>
      <c r="L113" s="14">
        <v>31002</v>
      </c>
      <c r="M113" s="14"/>
      <c r="N113" s="15">
        <v>91.8983</v>
      </c>
      <c r="O113" s="16">
        <f t="shared" si="13"/>
        <v>0.0220029403979993</v>
      </c>
      <c r="P113" s="15">
        <v>2.74</v>
      </c>
      <c r="Q113" s="15">
        <v>5.25</v>
      </c>
    </row>
    <row r="114" spans="1:17">
      <c r="A114" s="7">
        <v>46054</v>
      </c>
      <c r="B114" s="8">
        <f t="shared" si="7"/>
        <v>2026</v>
      </c>
      <c r="C114" s="8" t="s">
        <v>144</v>
      </c>
      <c r="D114" s="9">
        <v>22615</v>
      </c>
      <c r="E114" s="9">
        <v>38423.1</v>
      </c>
      <c r="F114" s="10">
        <f t="shared" si="8"/>
        <v>61038.1</v>
      </c>
      <c r="G114" s="8" t="str">
        <f t="shared" si="9"/>
        <v>No</v>
      </c>
      <c r="H114" s="8" t="str">
        <f t="shared" si="10"/>
        <v>n/a</v>
      </c>
      <c r="I114" s="11" t="str">
        <f t="shared" si="11"/>
        <v/>
      </c>
      <c r="J114" s="12">
        <v>25178.65</v>
      </c>
      <c r="K114" s="16">
        <f t="shared" si="12"/>
        <v>-0.00560807088285653</v>
      </c>
      <c r="L114" s="14">
        <v>29845</v>
      </c>
      <c r="M114" s="14"/>
      <c r="N114" s="15">
        <v>90.9542</v>
      </c>
      <c r="O114" s="16">
        <f t="shared" si="13"/>
        <v>-0.0102733129992612</v>
      </c>
      <c r="P114" s="15">
        <v>3.21</v>
      </c>
      <c r="Q114" s="15">
        <v>5.25</v>
      </c>
    </row>
    <row r="115" spans="1:17">
      <c r="A115" s="7">
        <v>46082</v>
      </c>
      <c r="B115" s="8">
        <f t="shared" si="7"/>
        <v>2026</v>
      </c>
      <c r="C115" s="8" t="s">
        <v>144</v>
      </c>
      <c r="D115" s="9">
        <v>-117775</v>
      </c>
      <c r="E115" s="9">
        <v>142960.4</v>
      </c>
      <c r="F115" s="10">
        <f t="shared" si="8"/>
        <v>25185.4</v>
      </c>
      <c r="G115" s="8" t="str">
        <f t="shared" si="9"/>
        <v>Yes</v>
      </c>
      <c r="H115" s="8" t="str">
        <f t="shared" si="10"/>
        <v>Yes</v>
      </c>
      <c r="I115" s="11">
        <f t="shared" si="11"/>
        <v>1.21384334536192</v>
      </c>
      <c r="J115" s="12">
        <v>22331.4</v>
      </c>
      <c r="K115" s="16">
        <f t="shared" si="12"/>
        <v>-0.113081916623806</v>
      </c>
      <c r="L115" s="14">
        <v>32087</v>
      </c>
      <c r="M115" s="14">
        <v>3248957.7</v>
      </c>
      <c r="N115" s="15">
        <v>94.6543</v>
      </c>
      <c r="O115" s="16">
        <f t="shared" si="13"/>
        <v>0.0406809141304085</v>
      </c>
      <c r="P115" s="15">
        <v>3.4</v>
      </c>
      <c r="Q115" s="15">
        <v>5.25</v>
      </c>
    </row>
    <row r="116" spans="1:17">
      <c r="A116" s="7">
        <v>46113</v>
      </c>
      <c r="B116" s="8">
        <f t="shared" si="7"/>
        <v>2026</v>
      </c>
      <c r="C116" s="8" t="s">
        <v>144</v>
      </c>
      <c r="D116" s="9">
        <v>-60847</v>
      </c>
      <c r="E116" s="9">
        <v>51063.9</v>
      </c>
      <c r="F116" s="10">
        <f t="shared" si="8"/>
        <v>-9783.1</v>
      </c>
      <c r="G116" s="8" t="str">
        <f t="shared" si="9"/>
        <v>Yes</v>
      </c>
      <c r="H116" s="8" t="str">
        <f t="shared" si="10"/>
        <v>No</v>
      </c>
      <c r="I116" s="11">
        <f t="shared" si="11"/>
        <v>0.839218038687199</v>
      </c>
      <c r="J116" s="12">
        <v>23997.55</v>
      </c>
      <c r="K116" s="16">
        <f t="shared" si="12"/>
        <v>0.0746101901358625</v>
      </c>
      <c r="L116" s="14">
        <v>31115</v>
      </c>
      <c r="M116" s="14"/>
      <c r="N116" s="15">
        <v>95.2417</v>
      </c>
      <c r="O116" s="16">
        <f t="shared" si="13"/>
        <v>0.00620574025691378</v>
      </c>
      <c r="P116" s="15">
        <v>3.48</v>
      </c>
      <c r="Q116" s="15">
        <v>5.25</v>
      </c>
    </row>
    <row r="117" spans="1:17">
      <c r="A117" s="7">
        <v>46143</v>
      </c>
      <c r="B117" s="8">
        <f t="shared" si="7"/>
        <v>2026</v>
      </c>
      <c r="C117" s="8" t="s">
        <v>144</v>
      </c>
      <c r="D117" s="9">
        <v>-32963</v>
      </c>
      <c r="E117" s="9">
        <v>82668.9</v>
      </c>
      <c r="F117" s="10">
        <f t="shared" si="8"/>
        <v>49705.9</v>
      </c>
      <c r="G117" s="8" t="str">
        <f t="shared" si="9"/>
        <v>Yes</v>
      </c>
      <c r="H117" s="8" t="str">
        <f t="shared" si="10"/>
        <v>Yes</v>
      </c>
      <c r="I117" s="11">
        <f t="shared" si="11"/>
        <v>2.50793010344932</v>
      </c>
      <c r="J117" s="12">
        <v>23547.75</v>
      </c>
      <c r="K117" s="16">
        <f t="shared" si="12"/>
        <v>-0.0187435800737992</v>
      </c>
      <c r="L117" s="14">
        <v>30954</v>
      </c>
      <c r="M117" s="14"/>
      <c r="N117" s="15">
        <v>95.3845</v>
      </c>
      <c r="O117" s="16">
        <f t="shared" si="13"/>
        <v>0.00149934324985801</v>
      </c>
      <c r="P117" s="15">
        <v>3.93</v>
      </c>
      <c r="Q117" s="15">
        <v>5.25</v>
      </c>
    </row>
    <row r="118" spans="1:17">
      <c r="A118" s="7">
        <v>46174</v>
      </c>
      <c r="B118" s="8">
        <f t="shared" si="7"/>
        <v>2026</v>
      </c>
      <c r="C118" s="8" t="s">
        <v>144</v>
      </c>
      <c r="D118" s="9">
        <v>-49340</v>
      </c>
      <c r="E118" s="9">
        <v>85800.1</v>
      </c>
      <c r="F118" s="10">
        <f t="shared" si="8"/>
        <v>36460.1</v>
      </c>
      <c r="G118" s="8" t="str">
        <f t="shared" si="9"/>
        <v>Yes</v>
      </c>
      <c r="H118" s="8" t="str">
        <f t="shared" si="10"/>
        <v>Yes</v>
      </c>
      <c r="I118" s="11">
        <f t="shared" si="11"/>
        <v>1.73895622213214</v>
      </c>
      <c r="J118" s="12">
        <v>23865.75</v>
      </c>
      <c r="K118" s="16">
        <f t="shared" si="12"/>
        <v>0.0135044749498359</v>
      </c>
      <c r="L118" s="14">
        <v>31781</v>
      </c>
      <c r="M118" s="14">
        <v>3787795.88</v>
      </c>
      <c r="N118" s="15">
        <v>94.5975</v>
      </c>
      <c r="O118" s="16">
        <f t="shared" si="13"/>
        <v>-0.0082508164324393</v>
      </c>
      <c r="P118" s="15">
        <v>4.38</v>
      </c>
      <c r="Q118" s="15">
        <v>5.25</v>
      </c>
    </row>
    <row r="119" spans="1:17">
      <c r="A119" s="7">
        <v>46204</v>
      </c>
      <c r="B119" s="8">
        <f t="shared" si="7"/>
        <v>2026</v>
      </c>
      <c r="C119" s="8" t="s">
        <v>144</v>
      </c>
      <c r="D119" s="9">
        <v>20200</v>
      </c>
      <c r="E119" s="9">
        <v>35099.2</v>
      </c>
      <c r="F119" s="10">
        <f t="shared" si="8"/>
        <v>55299.2</v>
      </c>
      <c r="G119" s="8" t="str">
        <f t="shared" si="9"/>
        <v>No</v>
      </c>
      <c r="H119" s="8" t="str">
        <f t="shared" si="10"/>
        <v>n/a</v>
      </c>
      <c r="I119" s="11" t="str">
        <f t="shared" si="11"/>
        <v/>
      </c>
      <c r="J119" s="12">
        <v>24383.6</v>
      </c>
      <c r="K119" s="16">
        <f t="shared" si="12"/>
        <v>0.0216984590888616</v>
      </c>
      <c r="L119" s="14">
        <v>31961</v>
      </c>
      <c r="M119" s="14"/>
      <c r="N119" s="15">
        <v>95.3706</v>
      </c>
      <c r="O119" s="16">
        <f t="shared" si="13"/>
        <v>0.00817252041544436</v>
      </c>
      <c r="P119" s="15">
        <v>4.45</v>
      </c>
      <c r="Q119" s="15">
        <v>5.25</v>
      </c>
    </row>
    <row r="120" spans="1:17">
      <c r="A120" s="7">
        <v>46235</v>
      </c>
      <c r="B120" s="8">
        <f t="shared" si="7"/>
        <v>2026</v>
      </c>
      <c r="C120" s="8" t="s">
        <v>144</v>
      </c>
      <c r="D120" s="9">
        <v>29631</v>
      </c>
      <c r="E120" s="9">
        <v>58268.2</v>
      </c>
      <c r="F120" s="10">
        <f t="shared" si="8"/>
        <v>87899.2</v>
      </c>
      <c r="G120" s="8" t="str">
        <f t="shared" si="9"/>
        <v>No</v>
      </c>
      <c r="H120" s="8" t="str">
        <f t="shared" si="10"/>
        <v>n/a</v>
      </c>
      <c r="I120" s="11" t="str">
        <f t="shared" si="11"/>
        <v/>
      </c>
      <c r="J120" s="12">
        <v>24080.4</v>
      </c>
      <c r="K120" s="16">
        <f t="shared" si="12"/>
        <v>-0.0124345871815481</v>
      </c>
      <c r="L120" s="14">
        <v>32297</v>
      </c>
      <c r="M120" s="14"/>
      <c r="N120" s="15">
        <v>95.4509</v>
      </c>
      <c r="O120" s="16">
        <f t="shared" si="13"/>
        <v>0.000841978555236267</v>
      </c>
      <c r="P120" s="15">
        <v>4.82</v>
      </c>
      <c r="Q120" s="15">
        <v>5.25</v>
      </c>
    </row>
    <row r="121" spans="1:17">
      <c r="A121" s="7">
        <v>46266</v>
      </c>
      <c r="B121" s="8">
        <f t="shared" si="7"/>
        <v>2026</v>
      </c>
      <c r="C121" s="8" t="s">
        <v>144</v>
      </c>
      <c r="D121" s="9">
        <v>-35861</v>
      </c>
      <c r="E121" s="9">
        <v>76030.3</v>
      </c>
      <c r="F121" s="10">
        <f t="shared" si="8"/>
        <v>40169.3</v>
      </c>
      <c r="G121" s="8" t="str">
        <f t="shared" si="9"/>
        <v>Yes</v>
      </c>
      <c r="H121" s="8" t="str">
        <f t="shared" si="10"/>
        <v>Yes</v>
      </c>
      <c r="I121" s="11">
        <f t="shared" si="11"/>
        <v>2.120138869524</v>
      </c>
      <c r="J121" s="12">
        <v>22620.45</v>
      </c>
      <c r="K121" s="16">
        <f t="shared" si="12"/>
        <v>-0.0606281457118653</v>
      </c>
      <c r="L121" s="14">
        <v>32490</v>
      </c>
      <c r="M121" s="14"/>
      <c r="N121" s="15">
        <v>95.9832</v>
      </c>
      <c r="O121" s="16">
        <f t="shared" si="13"/>
        <v>0.00557668916689091</v>
      </c>
      <c r="P121" s="15">
        <v>5.54</v>
      </c>
      <c r="Q121" s="15">
        <v>5.25</v>
      </c>
    </row>
    <row r="122" spans="1:17">
      <c r="A122" s="17">
        <v>46296</v>
      </c>
      <c r="B122" s="18">
        <f t="shared" si="7"/>
        <v>2026</v>
      </c>
      <c r="C122" s="18" t="s">
        <v>145</v>
      </c>
      <c r="D122" s="19">
        <v>-48056</v>
      </c>
      <c r="E122" s="19">
        <v>59110.3</v>
      </c>
      <c r="F122" s="20">
        <f t="shared" si="8"/>
        <v>11054.3</v>
      </c>
      <c r="G122" s="18" t="str">
        <f t="shared" si="9"/>
        <v>Yes</v>
      </c>
      <c r="H122" s="18" t="str">
        <f t="shared" si="10"/>
        <v>Yes</v>
      </c>
      <c r="I122" s="21">
        <f t="shared" si="11"/>
        <v>1.23002954885966</v>
      </c>
      <c r="J122" s="22">
        <v>22600</v>
      </c>
      <c r="K122" s="23">
        <f t="shared" si="12"/>
        <v>-0.000904049212106739</v>
      </c>
      <c r="L122" s="24"/>
      <c r="M122" s="24"/>
      <c r="N122" s="25"/>
      <c r="O122" s="26"/>
      <c r="P122" s="25"/>
      <c r="Q122" s="25"/>
    </row>
  </sheetData>
  <autoFilter xmlns:etc="http://www.wps.cn/officeDocument/2017/etCustomData" ref="A4:Q122" etc:filterBottomFollowUsedRange="0">
    <extLst/>
  </autoFilter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95959"/>
    <pageSetUpPr fitToPage="1"/>
  </sheetPr>
  <dimension ref="A1:B34"/>
  <sheetViews>
    <sheetView showGridLines="0" topLeftCell="A19" workbookViewId="0">
      <selection activeCell="A1" sqref="A1"/>
    </sheetView>
  </sheetViews>
  <sheetFormatPr defaultColWidth="8.67592592592593" defaultRowHeight="14.4" outlineLevelCol="1"/>
  <cols>
    <col min="1" max="1" width="24" customWidth="1"/>
    <col min="2" max="2" width="110" customWidth="1"/>
  </cols>
  <sheetData>
    <row r="1" ht="24" customHeight="1" spans="1:2">
      <c r="A1" s="1" t="s">
        <v>146</v>
      </c>
    </row>
    <row r="3" spans="1:2">
      <c r="A3" s="2" t="s">
        <v>147</v>
      </c>
    </row>
    <row r="4" ht="30" customHeight="1" spans="1:2">
      <c r="A4" s="3" t="s">
        <v>24</v>
      </c>
      <c r="B4" s="4" t="s">
        <v>148</v>
      </c>
    </row>
    <row r="6" spans="1:2">
      <c r="A6" s="2" t="s">
        <v>149</v>
      </c>
    </row>
    <row r="7" ht="30" customHeight="1" spans="1:2">
      <c r="A7" s="3" t="s">
        <v>150</v>
      </c>
      <c r="B7" s="4" t="s">
        <v>151</v>
      </c>
    </row>
    <row r="8" ht="30" customHeight="1" spans="1:2">
      <c r="A8" s="3" t="s">
        <v>74</v>
      </c>
      <c r="B8" s="4" t="s">
        <v>152</v>
      </c>
    </row>
    <row r="9" ht="18" customHeight="1" spans="1:2">
      <c r="A9" s="3" t="s">
        <v>88</v>
      </c>
      <c r="B9" s="4" t="s">
        <v>153</v>
      </c>
    </row>
    <row r="10" ht="30" customHeight="1" spans="1:2">
      <c r="A10" s="3" t="s">
        <v>154</v>
      </c>
      <c r="B10" s="4" t="s">
        <v>155</v>
      </c>
    </row>
    <row r="11" ht="30" customHeight="1" spans="1:2">
      <c r="A11" s="3" t="s">
        <v>156</v>
      </c>
      <c r="B11" s="4" t="s">
        <v>157</v>
      </c>
    </row>
    <row r="12" ht="30" customHeight="1" spans="1:2">
      <c r="A12" s="3" t="s">
        <v>158</v>
      </c>
      <c r="B12" s="4" t="s">
        <v>159</v>
      </c>
    </row>
    <row r="14" spans="1:2">
      <c r="A14" s="2" t="s">
        <v>160</v>
      </c>
    </row>
    <row r="15" ht="18" customHeight="1" spans="1:2">
      <c r="A15" s="3" t="s">
        <v>161</v>
      </c>
      <c r="B15" s="4" t="s">
        <v>162</v>
      </c>
    </row>
    <row r="16" ht="18" customHeight="1" spans="1:2">
      <c r="A16" s="3" t="s">
        <v>163</v>
      </c>
      <c r="B16" s="4" t="s">
        <v>164</v>
      </c>
    </row>
    <row r="17" ht="18" customHeight="1" spans="1:2">
      <c r="A17" s="3" t="s">
        <v>165</v>
      </c>
      <c r="B17" s="4" t="s">
        <v>166</v>
      </c>
    </row>
    <row r="18" ht="30" customHeight="1" spans="1:2">
      <c r="A18" s="3" t="s">
        <v>167</v>
      </c>
      <c r="B18" s="4" t="s">
        <v>168</v>
      </c>
    </row>
    <row r="19" ht="18" customHeight="1" spans="1:2">
      <c r="A19" s="3" t="s">
        <v>169</v>
      </c>
      <c r="B19" s="4" t="s">
        <v>170</v>
      </c>
    </row>
    <row r="20" ht="18" customHeight="1" spans="1:2">
      <c r="A20" s="3" t="s">
        <v>171</v>
      </c>
      <c r="B20" s="4" t="s">
        <v>172</v>
      </c>
    </row>
    <row r="22" spans="1:2">
      <c r="A22" s="2" t="s">
        <v>173</v>
      </c>
    </row>
    <row r="23" ht="45" customHeight="1" spans="1:2">
      <c r="A23" s="3" t="s">
        <v>100</v>
      </c>
      <c r="B23" s="4" t="s">
        <v>174</v>
      </c>
    </row>
    <row r="24" ht="45" customHeight="1" spans="1:2">
      <c r="A24" s="3" t="s">
        <v>175</v>
      </c>
      <c r="B24" s="4" t="s">
        <v>176</v>
      </c>
    </row>
    <row r="25" ht="18" customHeight="1" spans="1:2">
      <c r="A25" s="3" t="s">
        <v>177</v>
      </c>
      <c r="B25" s="4" t="s">
        <v>178</v>
      </c>
    </row>
    <row r="26" ht="30" customHeight="1" spans="1:2">
      <c r="A26" s="3" t="s">
        <v>179</v>
      </c>
      <c r="B26" s="4" t="s">
        <v>180</v>
      </c>
    </row>
    <row r="28" spans="1:2">
      <c r="A28" s="2" t="s">
        <v>181</v>
      </c>
    </row>
    <row r="29" ht="18" customHeight="1" spans="1:2">
      <c r="A29" s="3" t="s">
        <v>182</v>
      </c>
      <c r="B29" s="4" t="s">
        <v>183</v>
      </c>
    </row>
    <row r="30" ht="18" customHeight="1" spans="1:2">
      <c r="A30" s="3" t="s">
        <v>184</v>
      </c>
      <c r="B30" s="4" t="s">
        <v>185</v>
      </c>
    </row>
    <row r="31" ht="18" customHeight="1" spans="1:2">
      <c r="A31" s="3" t="s">
        <v>186</v>
      </c>
      <c r="B31" s="4" t="s">
        <v>187</v>
      </c>
    </row>
    <row r="32" ht="18" customHeight="1" spans="1:2">
      <c r="A32" s="3" t="s">
        <v>188</v>
      </c>
      <c r="B32" s="4" t="s">
        <v>189</v>
      </c>
    </row>
    <row r="33" ht="18" customHeight="1" spans="1:2">
      <c r="A33" s="3" t="s">
        <v>190</v>
      </c>
      <c r="B33" s="4" t="s">
        <v>191</v>
      </c>
    </row>
    <row r="34" ht="18" customHeight="1" spans="1:2">
      <c r="A34" s="3" t="s">
        <v>192</v>
      </c>
      <c r="B34" s="4" t="s">
        <v>193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Findings</vt:lpstr>
      <vt:lpstr>Offset Analysis</vt:lpstr>
      <vt:lpstr>Correlations</vt:lpstr>
      <vt:lpstr>Annual Summary</vt:lpstr>
      <vt:lpstr>Monthly Data</vt:lpstr>
      <vt:lpstr>Method &amp;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sahuk</cp:lastModifiedBy>
  <cp:revision>1</cp:revision>
  <dcterms:created xsi:type="dcterms:W3CDTF">2026-10-24T18:41:00Z</dcterms:created>
  <dcterms:modified xsi:type="dcterms:W3CDTF">2026-10-24T18:49:41Z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0391462C968E4B48BA4312E47D85B75D_12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